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1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peritieng-my.sharepoint.com/personal/pnasr_theperitigroup_com/Documents/Oversees Projects/WINDSTREAM PROJECTS/2025/PA/ST MARYS/EWR22877_PA_St Marys_1EA2_SEFH10317_708353211/SHEETS/"/>
    </mc:Choice>
  </mc:AlternateContent>
  <xr:revisionPtr revIDLastSave="1805" documentId="8_{30AF8329-0F4C-428E-A3E7-416E782763CC}" xr6:coauthVersionLast="47" xr6:coauthVersionMax="47" xr10:uidLastSave="{D10786A0-EBB9-49EA-9950-3D72126F845C}"/>
  <bookViews>
    <workbookView xWindow="28680" yWindow="-120" windowWidth="25440" windowHeight="15270" tabRatio="803" firstSheet="3" activeTab="3" xr2:uid="{BC3DA05F-A248-4CDA-A754-DC80E53355E4}"/>
  </bookViews>
  <sheets>
    <sheet name="Instructions" sheetId="5" r:id="rId1"/>
    <sheet name="Standards" sheetId="23" r:id="rId2"/>
    <sheet name="Parts" sheetId="2" r:id="rId3"/>
    <sheet name="Splitter 1" sheetId="1" r:id="rId4"/>
    <sheet name="SP1_Schematic" sheetId="98" r:id="rId5"/>
    <sheet name="BlankCopy" sheetId="90" state="hidden" r:id="rId6"/>
    <sheet name="Splitter 2" sheetId="87" r:id="rId7"/>
    <sheet name="SP2_Schematic" sheetId="99" r:id="rId8"/>
    <sheet name="Splitter 3" sheetId="93" r:id="rId9"/>
    <sheet name="SP3_Schematic" sheetId="100" r:id="rId10"/>
    <sheet name="Splitter 4" sheetId="96" r:id="rId11"/>
    <sheet name="SP4_Schematic" sheetId="101" r:id="rId12"/>
  </sheets>
  <functionGroups builtInGroupCount="19"/>
  <definedNames>
    <definedName name="Losses">Standards!$B$22:$D$27</definedName>
    <definedName name="LS_Loss">Standards!$B$30:$C$34</definedName>
    <definedName name="OLT">Standards!$B$3:$B$7</definedName>
    <definedName name="Splits">Standards!$C$37:$C$40</definedName>
    <definedName name="Units">Standards!$B$46:$D$53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 i="96" l="1"/>
  <c r="B15" i="96"/>
  <c r="B14" i="96"/>
  <c r="B13" i="96"/>
  <c r="B75" i="96"/>
  <c r="C6" i="96"/>
  <c r="B6" i="96"/>
  <c r="N100" i="96"/>
  <c r="N99" i="96"/>
  <c r="N98" i="96"/>
  <c r="N97" i="96"/>
  <c r="N96" i="96"/>
  <c r="N95" i="96"/>
  <c r="N94" i="96"/>
  <c r="N93" i="96"/>
  <c r="N92" i="96"/>
  <c r="N91" i="96"/>
  <c r="N90" i="96"/>
  <c r="N89" i="96"/>
  <c r="N88" i="96"/>
  <c r="N87" i="96"/>
  <c r="N86" i="96"/>
  <c r="N85" i="96"/>
  <c r="N84" i="96"/>
  <c r="N83" i="96"/>
  <c r="N82" i="96"/>
  <c r="N81" i="96"/>
  <c r="N80" i="96"/>
  <c r="N79" i="96"/>
  <c r="N78" i="96"/>
  <c r="N76" i="96"/>
  <c r="P76" i="96" s="1"/>
  <c r="N75" i="96"/>
  <c r="P75" i="96" s="1"/>
  <c r="R74" i="96"/>
  <c r="Q74" i="96"/>
  <c r="P100" i="96"/>
  <c r="O100" i="96"/>
  <c r="K100" i="96"/>
  <c r="J100" i="96"/>
  <c r="I100" i="96"/>
  <c r="H100" i="96"/>
  <c r="P99" i="96"/>
  <c r="O99" i="96"/>
  <c r="K99" i="96"/>
  <c r="J99" i="96"/>
  <c r="I99" i="96"/>
  <c r="H99" i="96"/>
  <c r="P98" i="96"/>
  <c r="O98" i="96"/>
  <c r="K98" i="96"/>
  <c r="J98" i="96"/>
  <c r="I98" i="96"/>
  <c r="H98" i="96"/>
  <c r="P97" i="96"/>
  <c r="O97" i="96"/>
  <c r="K97" i="96"/>
  <c r="J97" i="96"/>
  <c r="I97" i="96"/>
  <c r="H97" i="96"/>
  <c r="P96" i="96"/>
  <c r="O96" i="96"/>
  <c r="K96" i="96"/>
  <c r="J96" i="96"/>
  <c r="I96" i="96"/>
  <c r="H96" i="96"/>
  <c r="P95" i="96"/>
  <c r="O95" i="96"/>
  <c r="K95" i="96"/>
  <c r="J95" i="96"/>
  <c r="I95" i="96"/>
  <c r="H95" i="96"/>
  <c r="P94" i="96"/>
  <c r="O94" i="96"/>
  <c r="K94" i="96"/>
  <c r="J94" i="96"/>
  <c r="I94" i="96"/>
  <c r="H94" i="96"/>
  <c r="P93" i="96"/>
  <c r="O93" i="96"/>
  <c r="K93" i="96"/>
  <c r="J93" i="96"/>
  <c r="I93" i="96"/>
  <c r="H93" i="96"/>
  <c r="P92" i="96"/>
  <c r="O92" i="96"/>
  <c r="K92" i="96"/>
  <c r="J92" i="96"/>
  <c r="I92" i="96"/>
  <c r="H92" i="96"/>
  <c r="P91" i="96"/>
  <c r="O91" i="96"/>
  <c r="K91" i="96"/>
  <c r="J91" i="96"/>
  <c r="I91" i="96"/>
  <c r="H91" i="96"/>
  <c r="P90" i="96"/>
  <c r="O90" i="96"/>
  <c r="K90" i="96"/>
  <c r="J90" i="96"/>
  <c r="I90" i="96"/>
  <c r="H90" i="96"/>
  <c r="P89" i="96"/>
  <c r="O89" i="96"/>
  <c r="K89" i="96"/>
  <c r="J89" i="96"/>
  <c r="I89" i="96"/>
  <c r="H89" i="96"/>
  <c r="P88" i="96"/>
  <c r="O88" i="96"/>
  <c r="K88" i="96"/>
  <c r="J88" i="96"/>
  <c r="I88" i="96"/>
  <c r="H88" i="96"/>
  <c r="P87" i="96"/>
  <c r="O87" i="96"/>
  <c r="K87" i="96"/>
  <c r="J87" i="96"/>
  <c r="I87" i="96"/>
  <c r="H87" i="96"/>
  <c r="P86" i="96"/>
  <c r="O86" i="96"/>
  <c r="K86" i="96"/>
  <c r="J86" i="96"/>
  <c r="I86" i="96"/>
  <c r="H86" i="96"/>
  <c r="P85" i="96"/>
  <c r="O85" i="96"/>
  <c r="K85" i="96"/>
  <c r="J85" i="96"/>
  <c r="I85" i="96"/>
  <c r="H85" i="96"/>
  <c r="P84" i="96"/>
  <c r="O84" i="96"/>
  <c r="K84" i="96"/>
  <c r="J84" i="96"/>
  <c r="I84" i="96"/>
  <c r="H84" i="96"/>
  <c r="P83" i="96"/>
  <c r="O83" i="96"/>
  <c r="K83" i="96"/>
  <c r="J83" i="96"/>
  <c r="I83" i="96"/>
  <c r="H83" i="96"/>
  <c r="P82" i="96"/>
  <c r="O82" i="96"/>
  <c r="K82" i="96"/>
  <c r="J82" i="96"/>
  <c r="I82" i="96"/>
  <c r="H82" i="96"/>
  <c r="P81" i="96"/>
  <c r="O81" i="96"/>
  <c r="K81" i="96"/>
  <c r="J81" i="96"/>
  <c r="I81" i="96"/>
  <c r="H81" i="96"/>
  <c r="P80" i="96"/>
  <c r="O80" i="96"/>
  <c r="K80" i="96"/>
  <c r="J80" i="96"/>
  <c r="I80" i="96"/>
  <c r="H80" i="96"/>
  <c r="P79" i="96"/>
  <c r="O79" i="96"/>
  <c r="K79" i="96"/>
  <c r="J79" i="96"/>
  <c r="I79" i="96"/>
  <c r="H79" i="96"/>
  <c r="P78" i="96"/>
  <c r="O78" i="96"/>
  <c r="K78" i="96"/>
  <c r="J78" i="96"/>
  <c r="I78" i="96"/>
  <c r="H78" i="96"/>
  <c r="O77" i="96"/>
  <c r="K77" i="96"/>
  <c r="J77" i="96"/>
  <c r="O76" i="96"/>
  <c r="K76" i="96"/>
  <c r="J76" i="96"/>
  <c r="R75" i="96"/>
  <c r="R76" i="96" s="1"/>
  <c r="R77" i="96" s="1"/>
  <c r="R78" i="96" s="1"/>
  <c r="R79" i="96" s="1"/>
  <c r="R80" i="96" s="1"/>
  <c r="R81" i="96" s="1"/>
  <c r="R82" i="96" s="1"/>
  <c r="R83" i="96" s="1"/>
  <c r="R84" i="96" s="1"/>
  <c r="R85" i="96" s="1"/>
  <c r="R86" i="96" s="1"/>
  <c r="R87" i="96" s="1"/>
  <c r="R88" i="96" s="1"/>
  <c r="R89" i="96" s="1"/>
  <c r="R90" i="96" s="1"/>
  <c r="R91" i="96" s="1"/>
  <c r="R92" i="96" s="1"/>
  <c r="R93" i="96" s="1"/>
  <c r="R94" i="96" s="1"/>
  <c r="R95" i="96" s="1"/>
  <c r="R96" i="96" s="1"/>
  <c r="R97" i="96" s="1"/>
  <c r="R98" i="96" s="1"/>
  <c r="R99" i="96" s="1"/>
  <c r="R100" i="96" s="1"/>
  <c r="Q75" i="96"/>
  <c r="Q76" i="96" s="1"/>
  <c r="Q77" i="96" s="1"/>
  <c r="Q78" i="96" s="1"/>
  <c r="Q79" i="96" s="1"/>
  <c r="Q80" i="96" s="1"/>
  <c r="Q81" i="96" s="1"/>
  <c r="Q82" i="96" s="1"/>
  <c r="Q83" i="96" s="1"/>
  <c r="Q84" i="96" s="1"/>
  <c r="Q85" i="96" s="1"/>
  <c r="Q86" i="96" s="1"/>
  <c r="Q87" i="96" s="1"/>
  <c r="Q88" i="96" s="1"/>
  <c r="Q89" i="96" s="1"/>
  <c r="Q90" i="96" s="1"/>
  <c r="Q91" i="96" s="1"/>
  <c r="Q92" i="96" s="1"/>
  <c r="Q93" i="96" s="1"/>
  <c r="Q94" i="96" s="1"/>
  <c r="Q95" i="96" s="1"/>
  <c r="Q96" i="96" s="1"/>
  <c r="Q97" i="96" s="1"/>
  <c r="Q98" i="96" s="1"/>
  <c r="Q99" i="96" s="1"/>
  <c r="Q100" i="96" s="1"/>
  <c r="O75" i="96"/>
  <c r="K75" i="96"/>
  <c r="J75" i="96"/>
  <c r="H75" i="96"/>
  <c r="I75" i="96" s="1"/>
  <c r="L73" i="96"/>
  <c r="B44" i="96"/>
  <c r="N71" i="96"/>
  <c r="N70" i="96"/>
  <c r="N69" i="96"/>
  <c r="N68" i="96"/>
  <c r="N67" i="96"/>
  <c r="N66" i="96"/>
  <c r="N65" i="96"/>
  <c r="N64" i="96"/>
  <c r="N63" i="96"/>
  <c r="N62" i="96"/>
  <c r="N61" i="96"/>
  <c r="N60" i="96"/>
  <c r="N59" i="96"/>
  <c r="N58" i="96"/>
  <c r="N57" i="96"/>
  <c r="N56" i="96"/>
  <c r="N55" i="96"/>
  <c r="N54" i="96"/>
  <c r="N53" i="96"/>
  <c r="N52" i="96"/>
  <c r="N51" i="96"/>
  <c r="N50" i="96"/>
  <c r="N49" i="96"/>
  <c r="N48" i="96"/>
  <c r="N47" i="96"/>
  <c r="N46" i="96"/>
  <c r="N45" i="96"/>
  <c r="N43" i="96"/>
  <c r="H43" i="96" s="1"/>
  <c r="R42" i="96"/>
  <c r="Q42" i="96"/>
  <c r="P71" i="96"/>
  <c r="O71" i="96"/>
  <c r="K71" i="96"/>
  <c r="J71" i="96"/>
  <c r="I71" i="96"/>
  <c r="H71" i="96"/>
  <c r="P70" i="96"/>
  <c r="O70" i="96"/>
  <c r="K70" i="96"/>
  <c r="J70" i="96"/>
  <c r="I70" i="96"/>
  <c r="H70" i="96"/>
  <c r="P69" i="96"/>
  <c r="O69" i="96"/>
  <c r="K69" i="96"/>
  <c r="J69" i="96"/>
  <c r="I69" i="96"/>
  <c r="H69" i="96"/>
  <c r="P68" i="96"/>
  <c r="O68" i="96"/>
  <c r="K68" i="96"/>
  <c r="J68" i="96"/>
  <c r="I68" i="96"/>
  <c r="H68" i="96"/>
  <c r="P67" i="96"/>
  <c r="O67" i="96"/>
  <c r="K67" i="96"/>
  <c r="J67" i="96"/>
  <c r="I67" i="96"/>
  <c r="H67" i="96"/>
  <c r="P66" i="96"/>
  <c r="O66" i="96"/>
  <c r="K66" i="96"/>
  <c r="J66" i="96"/>
  <c r="I66" i="96"/>
  <c r="H66" i="96"/>
  <c r="P65" i="96"/>
  <c r="O65" i="96"/>
  <c r="K65" i="96"/>
  <c r="J65" i="96"/>
  <c r="I65" i="96"/>
  <c r="H65" i="96"/>
  <c r="P64" i="96"/>
  <c r="O64" i="96"/>
  <c r="K64" i="96"/>
  <c r="J64" i="96"/>
  <c r="I64" i="96"/>
  <c r="H64" i="96"/>
  <c r="P63" i="96"/>
  <c r="O63" i="96"/>
  <c r="K63" i="96"/>
  <c r="J63" i="96"/>
  <c r="I63" i="96"/>
  <c r="H63" i="96"/>
  <c r="P62" i="96"/>
  <c r="O62" i="96"/>
  <c r="K62" i="96"/>
  <c r="J62" i="96"/>
  <c r="I62" i="96"/>
  <c r="H62" i="96"/>
  <c r="P61" i="96"/>
  <c r="O61" i="96"/>
  <c r="K61" i="96"/>
  <c r="J61" i="96"/>
  <c r="I61" i="96"/>
  <c r="H61" i="96"/>
  <c r="P60" i="96"/>
  <c r="O60" i="96"/>
  <c r="K60" i="96"/>
  <c r="J60" i="96"/>
  <c r="I60" i="96"/>
  <c r="H60" i="96"/>
  <c r="P59" i="96"/>
  <c r="O59" i="96"/>
  <c r="K59" i="96"/>
  <c r="J59" i="96"/>
  <c r="I59" i="96"/>
  <c r="H59" i="96"/>
  <c r="P58" i="96"/>
  <c r="O58" i="96"/>
  <c r="K58" i="96"/>
  <c r="J58" i="96"/>
  <c r="I58" i="96"/>
  <c r="H58" i="96"/>
  <c r="P57" i="96"/>
  <c r="O57" i="96"/>
  <c r="K57" i="96"/>
  <c r="J57" i="96"/>
  <c r="I57" i="96"/>
  <c r="H57" i="96"/>
  <c r="P56" i="96"/>
  <c r="O56" i="96"/>
  <c r="K56" i="96"/>
  <c r="J56" i="96"/>
  <c r="I56" i="96"/>
  <c r="H56" i="96"/>
  <c r="P55" i="96"/>
  <c r="O55" i="96"/>
  <c r="K55" i="96"/>
  <c r="J55" i="96"/>
  <c r="I55" i="96"/>
  <c r="H55" i="96"/>
  <c r="P54" i="96"/>
  <c r="O54" i="96"/>
  <c r="K54" i="96"/>
  <c r="J54" i="96"/>
  <c r="I54" i="96"/>
  <c r="H54" i="96"/>
  <c r="P53" i="96"/>
  <c r="O53" i="96"/>
  <c r="K53" i="96"/>
  <c r="J53" i="96"/>
  <c r="I53" i="96"/>
  <c r="H53" i="96"/>
  <c r="P52" i="96"/>
  <c r="O52" i="96"/>
  <c r="K52" i="96"/>
  <c r="J52" i="96"/>
  <c r="I52" i="96"/>
  <c r="H52" i="96"/>
  <c r="P51" i="96"/>
  <c r="O51" i="96"/>
  <c r="K51" i="96"/>
  <c r="J51" i="96"/>
  <c r="I51" i="96"/>
  <c r="H51" i="96"/>
  <c r="P50" i="96"/>
  <c r="O50" i="96"/>
  <c r="K50" i="96"/>
  <c r="J50" i="96"/>
  <c r="I50" i="96"/>
  <c r="H50" i="96"/>
  <c r="P49" i="96"/>
  <c r="O49" i="96"/>
  <c r="K49" i="96"/>
  <c r="J49" i="96"/>
  <c r="I49" i="96"/>
  <c r="H49" i="96"/>
  <c r="P48" i="96"/>
  <c r="O48" i="96"/>
  <c r="K48" i="96"/>
  <c r="J48" i="96"/>
  <c r="I48" i="96"/>
  <c r="H48" i="96"/>
  <c r="P47" i="96"/>
  <c r="O47" i="96"/>
  <c r="K47" i="96"/>
  <c r="J47" i="96"/>
  <c r="I47" i="96"/>
  <c r="H47" i="96"/>
  <c r="P46" i="96"/>
  <c r="O46" i="96"/>
  <c r="K46" i="96"/>
  <c r="J46" i="96"/>
  <c r="I46" i="96"/>
  <c r="H46" i="96"/>
  <c r="P45" i="96"/>
  <c r="O45" i="96"/>
  <c r="K45" i="96"/>
  <c r="J45" i="96"/>
  <c r="I45" i="96"/>
  <c r="H45" i="96"/>
  <c r="O44" i="96"/>
  <c r="K44" i="96"/>
  <c r="J44" i="96"/>
  <c r="R43" i="96"/>
  <c r="R44" i="96" s="1"/>
  <c r="R45" i="96" s="1"/>
  <c r="R46" i="96" s="1"/>
  <c r="R47" i="96" s="1"/>
  <c r="R48" i="96" s="1"/>
  <c r="R49" i="96" s="1"/>
  <c r="R50" i="96" s="1"/>
  <c r="R51" i="96" s="1"/>
  <c r="R52" i="96" s="1"/>
  <c r="R53" i="96" s="1"/>
  <c r="R54" i="96" s="1"/>
  <c r="R55" i="96" s="1"/>
  <c r="R56" i="96" s="1"/>
  <c r="R57" i="96" s="1"/>
  <c r="R58" i="96" s="1"/>
  <c r="R59" i="96" s="1"/>
  <c r="R60" i="96" s="1"/>
  <c r="R61" i="96" s="1"/>
  <c r="R62" i="96" s="1"/>
  <c r="R63" i="96" s="1"/>
  <c r="R64" i="96" s="1"/>
  <c r="R65" i="96" s="1"/>
  <c r="R66" i="96" s="1"/>
  <c r="R67" i="96" s="1"/>
  <c r="R68" i="96" s="1"/>
  <c r="R69" i="96" s="1"/>
  <c r="R70" i="96" s="1"/>
  <c r="R71" i="96" s="1"/>
  <c r="Q43" i="96"/>
  <c r="Q44" i="96" s="1"/>
  <c r="Q45" i="96" s="1"/>
  <c r="Q46" i="96" s="1"/>
  <c r="Q47" i="96" s="1"/>
  <c r="Q48" i="96" s="1"/>
  <c r="Q49" i="96" s="1"/>
  <c r="Q50" i="96" s="1"/>
  <c r="Q51" i="96" s="1"/>
  <c r="Q52" i="96" s="1"/>
  <c r="Q53" i="96" s="1"/>
  <c r="Q54" i="96" s="1"/>
  <c r="Q55" i="96" s="1"/>
  <c r="Q56" i="96" s="1"/>
  <c r="Q57" i="96" s="1"/>
  <c r="Q58" i="96" s="1"/>
  <c r="Q59" i="96" s="1"/>
  <c r="Q60" i="96" s="1"/>
  <c r="Q61" i="96" s="1"/>
  <c r="Q62" i="96" s="1"/>
  <c r="Q63" i="96" s="1"/>
  <c r="Q64" i="96" s="1"/>
  <c r="Q65" i="96" s="1"/>
  <c r="Q66" i="96" s="1"/>
  <c r="Q67" i="96" s="1"/>
  <c r="Q68" i="96" s="1"/>
  <c r="Q69" i="96" s="1"/>
  <c r="Q70" i="96" s="1"/>
  <c r="Q71" i="96" s="1"/>
  <c r="O43" i="96"/>
  <c r="K43" i="96"/>
  <c r="J43" i="96"/>
  <c r="I43" i="96"/>
  <c r="L41" i="96"/>
  <c r="P39" i="96"/>
  <c r="O39" i="96"/>
  <c r="N39" i="96"/>
  <c r="K39" i="96"/>
  <c r="J39" i="96"/>
  <c r="I39" i="96"/>
  <c r="H39" i="96"/>
  <c r="P38" i="96"/>
  <c r="O38" i="96"/>
  <c r="N38" i="96"/>
  <c r="K38" i="96"/>
  <c r="J38" i="96"/>
  <c r="I38" i="96"/>
  <c r="H38" i="96"/>
  <c r="P37" i="96"/>
  <c r="O37" i="96"/>
  <c r="N37" i="96"/>
  <c r="K37" i="96"/>
  <c r="J37" i="96"/>
  <c r="I37" i="96"/>
  <c r="H37" i="96"/>
  <c r="P36" i="96"/>
  <c r="O36" i="96"/>
  <c r="N36" i="96"/>
  <c r="K36" i="96"/>
  <c r="J36" i="96"/>
  <c r="I36" i="96"/>
  <c r="H36" i="96"/>
  <c r="P35" i="96"/>
  <c r="O35" i="96"/>
  <c r="N35" i="96"/>
  <c r="K35" i="96"/>
  <c r="J35" i="96"/>
  <c r="I35" i="96"/>
  <c r="H35" i="96"/>
  <c r="P34" i="96"/>
  <c r="O34" i="96"/>
  <c r="N34" i="96"/>
  <c r="K34" i="96"/>
  <c r="J34" i="96"/>
  <c r="I34" i="96"/>
  <c r="H34" i="96"/>
  <c r="P33" i="96"/>
  <c r="O33" i="96"/>
  <c r="N33" i="96"/>
  <c r="K33" i="96"/>
  <c r="J33" i="96"/>
  <c r="I33" i="96"/>
  <c r="H33" i="96"/>
  <c r="P32" i="96"/>
  <c r="O32" i="96"/>
  <c r="N32" i="96"/>
  <c r="K32" i="96"/>
  <c r="J32" i="96"/>
  <c r="I32" i="96"/>
  <c r="H32" i="96"/>
  <c r="P31" i="96"/>
  <c r="O31" i="96"/>
  <c r="N31" i="96"/>
  <c r="K31" i="96"/>
  <c r="J31" i="96"/>
  <c r="I31" i="96"/>
  <c r="H31" i="96"/>
  <c r="P30" i="96"/>
  <c r="O30" i="96"/>
  <c r="N30" i="96"/>
  <c r="K30" i="96"/>
  <c r="J30" i="96"/>
  <c r="I30" i="96"/>
  <c r="H30" i="96"/>
  <c r="P29" i="96"/>
  <c r="O29" i="96"/>
  <c r="N29" i="96"/>
  <c r="K29" i="96"/>
  <c r="J29" i="96"/>
  <c r="I29" i="96"/>
  <c r="H29" i="96"/>
  <c r="P28" i="96"/>
  <c r="O28" i="96"/>
  <c r="N28" i="96"/>
  <c r="K28" i="96"/>
  <c r="J28" i="96"/>
  <c r="I28" i="96"/>
  <c r="H28" i="96"/>
  <c r="P27" i="96"/>
  <c r="O27" i="96"/>
  <c r="N27" i="96"/>
  <c r="K27" i="96"/>
  <c r="J27" i="96"/>
  <c r="I27" i="96"/>
  <c r="H27" i="96"/>
  <c r="P26" i="96"/>
  <c r="O26" i="96"/>
  <c r="N26" i="96"/>
  <c r="K26" i="96"/>
  <c r="J26" i="96"/>
  <c r="I26" i="96"/>
  <c r="H26" i="96"/>
  <c r="P25" i="96"/>
  <c r="O25" i="96"/>
  <c r="N25" i="96"/>
  <c r="K25" i="96"/>
  <c r="J25" i="96"/>
  <c r="I25" i="96"/>
  <c r="H25" i="96"/>
  <c r="P24" i="96"/>
  <c r="O24" i="96"/>
  <c r="N24" i="96"/>
  <c r="K24" i="96"/>
  <c r="J24" i="96"/>
  <c r="I24" i="96"/>
  <c r="H24" i="96"/>
  <c r="P23" i="96"/>
  <c r="O23" i="96"/>
  <c r="N23" i="96"/>
  <c r="K23" i="96"/>
  <c r="J23" i="96"/>
  <c r="I23" i="96"/>
  <c r="H23" i="96"/>
  <c r="P22" i="96"/>
  <c r="O22" i="96"/>
  <c r="N22" i="96"/>
  <c r="K22" i="96"/>
  <c r="J22" i="96"/>
  <c r="I22" i="96"/>
  <c r="H22" i="96"/>
  <c r="P21" i="96"/>
  <c r="O21" i="96"/>
  <c r="N21" i="96"/>
  <c r="K21" i="96"/>
  <c r="J21" i="96"/>
  <c r="I21" i="96"/>
  <c r="H21" i="96"/>
  <c r="P20" i="96"/>
  <c r="O20" i="96"/>
  <c r="N20" i="96"/>
  <c r="K20" i="96"/>
  <c r="J20" i="96"/>
  <c r="I20" i="96"/>
  <c r="H20" i="96"/>
  <c r="P19" i="96"/>
  <c r="O19" i="96"/>
  <c r="N19" i="96"/>
  <c r="K19" i="96"/>
  <c r="J19" i="96"/>
  <c r="I19" i="96"/>
  <c r="H19" i="96"/>
  <c r="P18" i="96"/>
  <c r="O18" i="96"/>
  <c r="N18" i="96"/>
  <c r="K18" i="96"/>
  <c r="J18" i="96"/>
  <c r="I18" i="96"/>
  <c r="H18" i="96"/>
  <c r="P17" i="96"/>
  <c r="O17" i="96"/>
  <c r="N17" i="96"/>
  <c r="K17" i="96"/>
  <c r="J17" i="96"/>
  <c r="I17" i="96"/>
  <c r="H17" i="96"/>
  <c r="O16" i="96"/>
  <c r="K16" i="96"/>
  <c r="J16" i="96"/>
  <c r="O15" i="96"/>
  <c r="N15" i="96"/>
  <c r="H15" i="96" s="1"/>
  <c r="I15" i="96" s="1"/>
  <c r="K15" i="96"/>
  <c r="J15" i="96"/>
  <c r="O14" i="96"/>
  <c r="K14" i="96"/>
  <c r="J14" i="96"/>
  <c r="O13" i="96"/>
  <c r="K13" i="96"/>
  <c r="J13" i="96"/>
  <c r="O12" i="96"/>
  <c r="K12" i="96"/>
  <c r="J12" i="96"/>
  <c r="I12" i="96"/>
  <c r="O11" i="96"/>
  <c r="K11" i="96"/>
  <c r="J11" i="96"/>
  <c r="O10" i="96"/>
  <c r="K10" i="96"/>
  <c r="J10" i="96"/>
  <c r="I10" i="96"/>
  <c r="O9" i="96"/>
  <c r="K9" i="96"/>
  <c r="J9" i="96"/>
  <c r="I9" i="96"/>
  <c r="R8" i="96"/>
  <c r="R9" i="96" s="1"/>
  <c r="R10" i="96" s="1"/>
  <c r="R11" i="96" s="1"/>
  <c r="R12" i="96" s="1"/>
  <c r="R13" i="96" s="1"/>
  <c r="R14" i="96" s="1"/>
  <c r="R15" i="96" s="1"/>
  <c r="R16" i="96" s="1"/>
  <c r="R17" i="96" s="1"/>
  <c r="R18" i="96" s="1"/>
  <c r="R19" i="96" s="1"/>
  <c r="R20" i="96" s="1"/>
  <c r="R21" i="96" s="1"/>
  <c r="R22" i="96" s="1"/>
  <c r="R23" i="96" s="1"/>
  <c r="R24" i="96" s="1"/>
  <c r="R25" i="96" s="1"/>
  <c r="R26" i="96" s="1"/>
  <c r="R27" i="96" s="1"/>
  <c r="R28" i="96" s="1"/>
  <c r="R29" i="96" s="1"/>
  <c r="R30" i="96" s="1"/>
  <c r="R31" i="96" s="1"/>
  <c r="R32" i="96" s="1"/>
  <c r="R33" i="96" s="1"/>
  <c r="R34" i="96" s="1"/>
  <c r="R35" i="96" s="1"/>
  <c r="R36" i="96" s="1"/>
  <c r="R37" i="96" s="1"/>
  <c r="R38" i="96" s="1"/>
  <c r="R39" i="96" s="1"/>
  <c r="Q8" i="96"/>
  <c r="Q9" i="96" s="1"/>
  <c r="O8" i="96"/>
  <c r="N8" i="96"/>
  <c r="H8" i="96" s="1"/>
  <c r="K8" i="96"/>
  <c r="J8" i="96"/>
  <c r="I8" i="96"/>
  <c r="F2" i="96"/>
  <c r="L2" i="96" s="1"/>
  <c r="B109" i="93"/>
  <c r="B108" i="93"/>
  <c r="B16" i="93"/>
  <c r="B15" i="93"/>
  <c r="B14" i="93"/>
  <c r="C6" i="93"/>
  <c r="B107" i="93"/>
  <c r="B106" i="93"/>
  <c r="C106" i="93"/>
  <c r="B105" i="93"/>
  <c r="B104" i="93"/>
  <c r="N124" i="93"/>
  <c r="N123" i="93"/>
  <c r="N122" i="93"/>
  <c r="N121" i="93"/>
  <c r="N120" i="93"/>
  <c r="N119" i="93"/>
  <c r="N118" i="93"/>
  <c r="N117" i="93"/>
  <c r="N116" i="93"/>
  <c r="N115" i="93"/>
  <c r="N114" i="93"/>
  <c r="N113" i="93"/>
  <c r="N112" i="93"/>
  <c r="N111" i="93"/>
  <c r="N110" i="93"/>
  <c r="P124" i="93"/>
  <c r="O124" i="93"/>
  <c r="K124" i="93"/>
  <c r="J124" i="93"/>
  <c r="I124" i="93"/>
  <c r="H124" i="93"/>
  <c r="P123" i="93"/>
  <c r="O123" i="93"/>
  <c r="K123" i="93"/>
  <c r="J123" i="93"/>
  <c r="I123" i="93"/>
  <c r="H123" i="93"/>
  <c r="P122" i="93"/>
  <c r="O122" i="93"/>
  <c r="K122" i="93"/>
  <c r="J122" i="93"/>
  <c r="I122" i="93"/>
  <c r="H122" i="93"/>
  <c r="P121" i="93"/>
  <c r="O121" i="93"/>
  <c r="K121" i="93"/>
  <c r="J121" i="93"/>
  <c r="I121" i="93"/>
  <c r="H121" i="93"/>
  <c r="P120" i="93"/>
  <c r="O120" i="93"/>
  <c r="K120" i="93"/>
  <c r="J120" i="93"/>
  <c r="I120" i="93"/>
  <c r="H120" i="93"/>
  <c r="P119" i="93"/>
  <c r="O119" i="93"/>
  <c r="K119" i="93"/>
  <c r="J119" i="93"/>
  <c r="I119" i="93"/>
  <c r="H119" i="93"/>
  <c r="P118" i="93"/>
  <c r="O118" i="93"/>
  <c r="K118" i="93"/>
  <c r="J118" i="93"/>
  <c r="I118" i="93"/>
  <c r="H118" i="93"/>
  <c r="P117" i="93"/>
  <c r="O117" i="93"/>
  <c r="K117" i="93"/>
  <c r="J117" i="93"/>
  <c r="I117" i="93"/>
  <c r="H117" i="93"/>
  <c r="P116" i="93"/>
  <c r="O116" i="93"/>
  <c r="K116" i="93"/>
  <c r="J116" i="93"/>
  <c r="I116" i="93"/>
  <c r="H116" i="93"/>
  <c r="P115" i="93"/>
  <c r="O115" i="93"/>
  <c r="K115" i="93"/>
  <c r="J115" i="93"/>
  <c r="I115" i="93"/>
  <c r="H115" i="93"/>
  <c r="P114" i="93"/>
  <c r="O114" i="93"/>
  <c r="K114" i="93"/>
  <c r="J114" i="93"/>
  <c r="I114" i="93"/>
  <c r="H114" i="93"/>
  <c r="P113" i="93"/>
  <c r="O113" i="93"/>
  <c r="K113" i="93"/>
  <c r="J113" i="93"/>
  <c r="I113" i="93"/>
  <c r="H113" i="93"/>
  <c r="P112" i="93"/>
  <c r="O112" i="93"/>
  <c r="K112" i="93"/>
  <c r="J112" i="93"/>
  <c r="I112" i="93"/>
  <c r="H112" i="93"/>
  <c r="P111" i="93"/>
  <c r="O111" i="93"/>
  <c r="K111" i="93"/>
  <c r="J111" i="93"/>
  <c r="I111" i="93"/>
  <c r="H111" i="93"/>
  <c r="P110" i="93"/>
  <c r="O110" i="93"/>
  <c r="K110" i="93"/>
  <c r="J110" i="93"/>
  <c r="I110" i="93"/>
  <c r="H110" i="93"/>
  <c r="O109" i="93"/>
  <c r="K109" i="93"/>
  <c r="J109" i="93"/>
  <c r="O108" i="93"/>
  <c r="K108" i="93"/>
  <c r="J108" i="93"/>
  <c r="O107" i="93"/>
  <c r="K107" i="93"/>
  <c r="J107" i="93"/>
  <c r="I107" i="93"/>
  <c r="O106" i="93"/>
  <c r="K106" i="93"/>
  <c r="J106" i="93"/>
  <c r="O105" i="93"/>
  <c r="K105" i="93"/>
  <c r="J105" i="93"/>
  <c r="O104" i="93"/>
  <c r="K104" i="93"/>
  <c r="J104" i="93"/>
  <c r="B13" i="93"/>
  <c r="B12" i="93"/>
  <c r="B11" i="93"/>
  <c r="B76" i="93"/>
  <c r="N100" i="93"/>
  <c r="N99" i="93"/>
  <c r="N98" i="93"/>
  <c r="N97" i="93"/>
  <c r="N96" i="93"/>
  <c r="N95" i="93"/>
  <c r="N94" i="93"/>
  <c r="N93" i="93"/>
  <c r="N92" i="93"/>
  <c r="N91" i="93"/>
  <c r="N90" i="93"/>
  <c r="N89" i="93"/>
  <c r="N88" i="93"/>
  <c r="N87" i="93"/>
  <c r="N86" i="93"/>
  <c r="N85" i="93"/>
  <c r="N84" i="93"/>
  <c r="N83" i="93"/>
  <c r="N82" i="93"/>
  <c r="N81" i="93"/>
  <c r="N80" i="93"/>
  <c r="N79" i="93"/>
  <c r="N78" i="93"/>
  <c r="P100" i="93"/>
  <c r="O100" i="93"/>
  <c r="K100" i="93"/>
  <c r="J100" i="93"/>
  <c r="I100" i="93"/>
  <c r="H100" i="93"/>
  <c r="P99" i="93"/>
  <c r="O99" i="93"/>
  <c r="K99" i="93"/>
  <c r="J99" i="93"/>
  <c r="I99" i="93"/>
  <c r="H99" i="93"/>
  <c r="P98" i="93"/>
  <c r="O98" i="93"/>
  <c r="K98" i="93"/>
  <c r="J98" i="93"/>
  <c r="I98" i="93"/>
  <c r="H98" i="93"/>
  <c r="P97" i="93"/>
  <c r="O97" i="93"/>
  <c r="K97" i="93"/>
  <c r="J97" i="93"/>
  <c r="I97" i="93"/>
  <c r="H97" i="93"/>
  <c r="P96" i="93"/>
  <c r="O96" i="93"/>
  <c r="K96" i="93"/>
  <c r="J96" i="93"/>
  <c r="I96" i="93"/>
  <c r="H96" i="93"/>
  <c r="P95" i="93"/>
  <c r="O95" i="93"/>
  <c r="K95" i="93"/>
  <c r="J95" i="93"/>
  <c r="I95" i="93"/>
  <c r="H95" i="93"/>
  <c r="P94" i="93"/>
  <c r="O94" i="93"/>
  <c r="K94" i="93"/>
  <c r="J94" i="93"/>
  <c r="I94" i="93"/>
  <c r="H94" i="93"/>
  <c r="P93" i="93"/>
  <c r="O93" i="93"/>
  <c r="K93" i="93"/>
  <c r="J93" i="93"/>
  <c r="I93" i="93"/>
  <c r="H93" i="93"/>
  <c r="P92" i="93"/>
  <c r="O92" i="93"/>
  <c r="K92" i="93"/>
  <c r="J92" i="93"/>
  <c r="I92" i="93"/>
  <c r="H92" i="93"/>
  <c r="P91" i="93"/>
  <c r="O91" i="93"/>
  <c r="K91" i="93"/>
  <c r="J91" i="93"/>
  <c r="I91" i="93"/>
  <c r="H91" i="93"/>
  <c r="P90" i="93"/>
  <c r="O90" i="93"/>
  <c r="K90" i="93"/>
  <c r="J90" i="93"/>
  <c r="I90" i="93"/>
  <c r="H90" i="93"/>
  <c r="P89" i="93"/>
  <c r="O89" i="93"/>
  <c r="K89" i="93"/>
  <c r="J89" i="93"/>
  <c r="I89" i="93"/>
  <c r="H89" i="93"/>
  <c r="P88" i="93"/>
  <c r="O88" i="93"/>
  <c r="K88" i="93"/>
  <c r="J88" i="93"/>
  <c r="I88" i="93"/>
  <c r="H88" i="93"/>
  <c r="P87" i="93"/>
  <c r="O87" i="93"/>
  <c r="K87" i="93"/>
  <c r="J87" i="93"/>
  <c r="I87" i="93"/>
  <c r="H87" i="93"/>
  <c r="P86" i="93"/>
  <c r="O86" i="93"/>
  <c r="K86" i="93"/>
  <c r="J86" i="93"/>
  <c r="I86" i="93"/>
  <c r="H86" i="93"/>
  <c r="P85" i="93"/>
  <c r="O85" i="93"/>
  <c r="K85" i="93"/>
  <c r="J85" i="93"/>
  <c r="I85" i="93"/>
  <c r="H85" i="93"/>
  <c r="P84" i="93"/>
  <c r="O84" i="93"/>
  <c r="K84" i="93"/>
  <c r="J84" i="93"/>
  <c r="I84" i="93"/>
  <c r="H84" i="93"/>
  <c r="P83" i="93"/>
  <c r="O83" i="93"/>
  <c r="K83" i="93"/>
  <c r="J83" i="93"/>
  <c r="I83" i="93"/>
  <c r="H83" i="93"/>
  <c r="P82" i="93"/>
  <c r="O82" i="93"/>
  <c r="K82" i="93"/>
  <c r="J82" i="93"/>
  <c r="I82" i="93"/>
  <c r="H82" i="93"/>
  <c r="P81" i="93"/>
  <c r="O81" i="93"/>
  <c r="K81" i="93"/>
  <c r="J81" i="93"/>
  <c r="I81" i="93"/>
  <c r="H81" i="93"/>
  <c r="P80" i="93"/>
  <c r="O80" i="93"/>
  <c r="K80" i="93"/>
  <c r="J80" i="93"/>
  <c r="I80" i="93"/>
  <c r="H80" i="93"/>
  <c r="P79" i="93"/>
  <c r="O79" i="93"/>
  <c r="K79" i="93"/>
  <c r="J79" i="93"/>
  <c r="I79" i="93"/>
  <c r="H79" i="93"/>
  <c r="P78" i="93"/>
  <c r="O78" i="93"/>
  <c r="K78" i="93"/>
  <c r="J78" i="93"/>
  <c r="I78" i="93"/>
  <c r="H78" i="93"/>
  <c r="O77" i="93"/>
  <c r="K77" i="93"/>
  <c r="J77" i="93"/>
  <c r="O76" i="93"/>
  <c r="K76" i="93"/>
  <c r="J76" i="93"/>
  <c r="B47" i="93"/>
  <c r="B46" i="93"/>
  <c r="B45" i="93"/>
  <c r="B44" i="93"/>
  <c r="B43" i="93"/>
  <c r="N72" i="93"/>
  <c r="N71" i="93"/>
  <c r="N70" i="93"/>
  <c r="N69" i="93"/>
  <c r="N68" i="93"/>
  <c r="N67" i="93"/>
  <c r="N66" i="93"/>
  <c r="N65" i="93"/>
  <c r="N64" i="93"/>
  <c r="N63" i="93"/>
  <c r="N62" i="93"/>
  <c r="N61" i="93"/>
  <c r="N60" i="93"/>
  <c r="N59" i="93"/>
  <c r="N58" i="93"/>
  <c r="N57" i="93"/>
  <c r="N56" i="93"/>
  <c r="N55" i="93"/>
  <c r="N54" i="93"/>
  <c r="N53" i="93"/>
  <c r="N52" i="93"/>
  <c r="N51" i="93"/>
  <c r="N50" i="93"/>
  <c r="N49" i="93"/>
  <c r="N48" i="93"/>
  <c r="P72" i="93"/>
  <c r="O72" i="93"/>
  <c r="K72" i="93"/>
  <c r="J72" i="93"/>
  <c r="I72" i="93"/>
  <c r="H72" i="93"/>
  <c r="P71" i="93"/>
  <c r="O71" i="93"/>
  <c r="K71" i="93"/>
  <c r="J71" i="93"/>
  <c r="I71" i="93"/>
  <c r="H71" i="93"/>
  <c r="P70" i="93"/>
  <c r="O70" i="93"/>
  <c r="K70" i="93"/>
  <c r="J70" i="93"/>
  <c r="I70" i="93"/>
  <c r="H70" i="93"/>
  <c r="P69" i="93"/>
  <c r="O69" i="93"/>
  <c r="K69" i="93"/>
  <c r="J69" i="93"/>
  <c r="I69" i="93"/>
  <c r="H69" i="93"/>
  <c r="P68" i="93"/>
  <c r="O68" i="93"/>
  <c r="K68" i="93"/>
  <c r="J68" i="93"/>
  <c r="I68" i="93"/>
  <c r="H68" i="93"/>
  <c r="P67" i="93"/>
  <c r="O67" i="93"/>
  <c r="K67" i="93"/>
  <c r="J67" i="93"/>
  <c r="I67" i="93"/>
  <c r="H67" i="93"/>
  <c r="P66" i="93"/>
  <c r="O66" i="93"/>
  <c r="K66" i="93"/>
  <c r="J66" i="93"/>
  <c r="I66" i="93"/>
  <c r="H66" i="93"/>
  <c r="P65" i="93"/>
  <c r="O65" i="93"/>
  <c r="K65" i="93"/>
  <c r="J65" i="93"/>
  <c r="I65" i="93"/>
  <c r="H65" i="93"/>
  <c r="P64" i="93"/>
  <c r="O64" i="93"/>
  <c r="K64" i="93"/>
  <c r="J64" i="93"/>
  <c r="I64" i="93"/>
  <c r="H64" i="93"/>
  <c r="P63" i="93"/>
  <c r="O63" i="93"/>
  <c r="K63" i="93"/>
  <c r="J63" i="93"/>
  <c r="I63" i="93"/>
  <c r="H63" i="93"/>
  <c r="P62" i="93"/>
  <c r="O62" i="93"/>
  <c r="K62" i="93"/>
  <c r="J62" i="93"/>
  <c r="I62" i="93"/>
  <c r="H62" i="93"/>
  <c r="P61" i="93"/>
  <c r="O61" i="93"/>
  <c r="K61" i="93"/>
  <c r="J61" i="93"/>
  <c r="I61" i="93"/>
  <c r="H61" i="93"/>
  <c r="P60" i="93"/>
  <c r="O60" i="93"/>
  <c r="K60" i="93"/>
  <c r="J60" i="93"/>
  <c r="I60" i="93"/>
  <c r="H60" i="93"/>
  <c r="P59" i="93"/>
  <c r="O59" i="93"/>
  <c r="K59" i="93"/>
  <c r="J59" i="93"/>
  <c r="I59" i="93"/>
  <c r="H59" i="93"/>
  <c r="P58" i="93"/>
  <c r="O58" i="93"/>
  <c r="K58" i="93"/>
  <c r="J58" i="93"/>
  <c r="I58" i="93"/>
  <c r="H58" i="93"/>
  <c r="P57" i="93"/>
  <c r="O57" i="93"/>
  <c r="K57" i="93"/>
  <c r="J57" i="93"/>
  <c r="I57" i="93"/>
  <c r="H57" i="93"/>
  <c r="P56" i="93"/>
  <c r="O56" i="93"/>
  <c r="K56" i="93"/>
  <c r="J56" i="93"/>
  <c r="I56" i="93"/>
  <c r="H56" i="93"/>
  <c r="P55" i="93"/>
  <c r="O55" i="93"/>
  <c r="K55" i="93"/>
  <c r="J55" i="93"/>
  <c r="I55" i="93"/>
  <c r="H55" i="93"/>
  <c r="P54" i="93"/>
  <c r="O54" i="93"/>
  <c r="K54" i="93"/>
  <c r="J54" i="93"/>
  <c r="I54" i="93"/>
  <c r="H54" i="93"/>
  <c r="P53" i="93"/>
  <c r="O53" i="93"/>
  <c r="K53" i="93"/>
  <c r="J53" i="93"/>
  <c r="I53" i="93"/>
  <c r="H53" i="93"/>
  <c r="P52" i="93"/>
  <c r="O52" i="93"/>
  <c r="K52" i="93"/>
  <c r="J52" i="93"/>
  <c r="I52" i="93"/>
  <c r="H52" i="93"/>
  <c r="P51" i="93"/>
  <c r="O51" i="93"/>
  <c r="K51" i="93"/>
  <c r="J51" i="93"/>
  <c r="I51" i="93"/>
  <c r="H51" i="93"/>
  <c r="P50" i="93"/>
  <c r="O50" i="93"/>
  <c r="K50" i="93"/>
  <c r="J50" i="93"/>
  <c r="I50" i="93"/>
  <c r="H50" i="93"/>
  <c r="P49" i="93"/>
  <c r="O49" i="93"/>
  <c r="K49" i="93"/>
  <c r="J49" i="93"/>
  <c r="I49" i="93"/>
  <c r="H49" i="93"/>
  <c r="P48" i="93"/>
  <c r="O48" i="93"/>
  <c r="K48" i="93"/>
  <c r="J48" i="93"/>
  <c r="I48" i="93"/>
  <c r="H48" i="93"/>
  <c r="O47" i="93"/>
  <c r="K47" i="93"/>
  <c r="J47" i="93"/>
  <c r="O46" i="93"/>
  <c r="K46" i="93"/>
  <c r="J46" i="93"/>
  <c r="I46" i="93"/>
  <c r="O45" i="93"/>
  <c r="K45" i="93"/>
  <c r="J45" i="93"/>
  <c r="O44" i="93"/>
  <c r="K44" i="93"/>
  <c r="J44" i="93"/>
  <c r="O43" i="93"/>
  <c r="K43" i="93"/>
  <c r="J43" i="93"/>
  <c r="P39" i="93"/>
  <c r="O39" i="93"/>
  <c r="N39" i="93"/>
  <c r="K39" i="93"/>
  <c r="J39" i="93"/>
  <c r="I39" i="93"/>
  <c r="H39" i="93"/>
  <c r="P38" i="93"/>
  <c r="O38" i="93"/>
  <c r="N38" i="93"/>
  <c r="K38" i="93"/>
  <c r="J38" i="93"/>
  <c r="I38" i="93"/>
  <c r="H38" i="93"/>
  <c r="P37" i="93"/>
  <c r="O37" i="93"/>
  <c r="N37" i="93"/>
  <c r="K37" i="93"/>
  <c r="J37" i="93"/>
  <c r="I37" i="93"/>
  <c r="H37" i="93"/>
  <c r="P36" i="93"/>
  <c r="O36" i="93"/>
  <c r="N36" i="93"/>
  <c r="K36" i="93"/>
  <c r="J36" i="93"/>
  <c r="I36" i="93"/>
  <c r="H36" i="93"/>
  <c r="P35" i="93"/>
  <c r="O35" i="93"/>
  <c r="N35" i="93"/>
  <c r="K35" i="93"/>
  <c r="J35" i="93"/>
  <c r="I35" i="93"/>
  <c r="H35" i="93"/>
  <c r="P34" i="93"/>
  <c r="O34" i="93"/>
  <c r="N34" i="93"/>
  <c r="K34" i="93"/>
  <c r="J34" i="93"/>
  <c r="I34" i="93"/>
  <c r="H34" i="93"/>
  <c r="P33" i="93"/>
  <c r="O33" i="93"/>
  <c r="N33" i="93"/>
  <c r="K33" i="93"/>
  <c r="J33" i="93"/>
  <c r="I33" i="93"/>
  <c r="H33" i="93"/>
  <c r="P32" i="93"/>
  <c r="O32" i="93"/>
  <c r="N32" i="93"/>
  <c r="K32" i="93"/>
  <c r="J32" i="93"/>
  <c r="I32" i="93"/>
  <c r="H32" i="93"/>
  <c r="P31" i="93"/>
  <c r="O31" i="93"/>
  <c r="N31" i="93"/>
  <c r="K31" i="93"/>
  <c r="J31" i="93"/>
  <c r="I31" i="93"/>
  <c r="H31" i="93"/>
  <c r="P30" i="93"/>
  <c r="O30" i="93"/>
  <c r="N30" i="93"/>
  <c r="K30" i="93"/>
  <c r="J30" i="93"/>
  <c r="I30" i="93"/>
  <c r="H30" i="93"/>
  <c r="P29" i="93"/>
  <c r="O29" i="93"/>
  <c r="N29" i="93"/>
  <c r="K29" i="93"/>
  <c r="J29" i="93"/>
  <c r="I29" i="93"/>
  <c r="H29" i="93"/>
  <c r="P28" i="93"/>
  <c r="O28" i="93"/>
  <c r="N28" i="93"/>
  <c r="K28" i="93"/>
  <c r="J28" i="93"/>
  <c r="I28" i="93"/>
  <c r="H28" i="93"/>
  <c r="P27" i="93"/>
  <c r="O27" i="93"/>
  <c r="N27" i="93"/>
  <c r="K27" i="93"/>
  <c r="J27" i="93"/>
  <c r="I27" i="93"/>
  <c r="H27" i="93"/>
  <c r="P26" i="93"/>
  <c r="O26" i="93"/>
  <c r="N26" i="93"/>
  <c r="K26" i="93"/>
  <c r="J26" i="93"/>
  <c r="I26" i="93"/>
  <c r="H26" i="93"/>
  <c r="P25" i="93"/>
  <c r="O25" i="93"/>
  <c r="N25" i="93"/>
  <c r="K25" i="93"/>
  <c r="J25" i="93"/>
  <c r="I25" i="93"/>
  <c r="H25" i="93"/>
  <c r="P24" i="93"/>
  <c r="O24" i="93"/>
  <c r="N24" i="93"/>
  <c r="K24" i="93"/>
  <c r="J24" i="93"/>
  <c r="I24" i="93"/>
  <c r="H24" i="93"/>
  <c r="P23" i="93"/>
  <c r="O23" i="93"/>
  <c r="N23" i="93"/>
  <c r="K23" i="93"/>
  <c r="J23" i="93"/>
  <c r="I23" i="93"/>
  <c r="H23" i="93"/>
  <c r="P22" i="93"/>
  <c r="O22" i="93"/>
  <c r="N22" i="93"/>
  <c r="K22" i="93"/>
  <c r="J22" i="93"/>
  <c r="I22" i="93"/>
  <c r="H22" i="93"/>
  <c r="P21" i="93"/>
  <c r="O21" i="93"/>
  <c r="N21" i="93"/>
  <c r="K21" i="93"/>
  <c r="J21" i="93"/>
  <c r="I21" i="93"/>
  <c r="H21" i="93"/>
  <c r="P20" i="93"/>
  <c r="O20" i="93"/>
  <c r="N20" i="93"/>
  <c r="K20" i="93"/>
  <c r="J20" i="93"/>
  <c r="I20" i="93"/>
  <c r="H20" i="93"/>
  <c r="P19" i="93"/>
  <c r="O19" i="93"/>
  <c r="N19" i="93"/>
  <c r="K19" i="93"/>
  <c r="J19" i="93"/>
  <c r="I19" i="93"/>
  <c r="H19" i="93"/>
  <c r="P18" i="93"/>
  <c r="O18" i="93"/>
  <c r="N18" i="93"/>
  <c r="K18" i="93"/>
  <c r="J18" i="93"/>
  <c r="I18" i="93"/>
  <c r="H18" i="93"/>
  <c r="P17" i="93"/>
  <c r="O17" i="93"/>
  <c r="N17" i="93"/>
  <c r="K17" i="93"/>
  <c r="J17" i="93"/>
  <c r="I17" i="93"/>
  <c r="H17" i="93"/>
  <c r="O16" i="93"/>
  <c r="K16" i="93"/>
  <c r="J16" i="93"/>
  <c r="O15" i="93"/>
  <c r="K15" i="93"/>
  <c r="J15" i="93"/>
  <c r="O14" i="93"/>
  <c r="K14" i="93"/>
  <c r="J14" i="93"/>
  <c r="O13" i="93"/>
  <c r="K13" i="93"/>
  <c r="J13" i="93"/>
  <c r="O12" i="93"/>
  <c r="K12" i="93"/>
  <c r="J12" i="93"/>
  <c r="O11" i="93"/>
  <c r="K11" i="93"/>
  <c r="J11" i="93"/>
  <c r="O10" i="93"/>
  <c r="K10" i="93"/>
  <c r="J10" i="93"/>
  <c r="I10" i="93"/>
  <c r="O9" i="93"/>
  <c r="K9" i="93"/>
  <c r="J9" i="93"/>
  <c r="I9" i="93"/>
  <c r="R8" i="93"/>
  <c r="R9" i="93" s="1"/>
  <c r="R10" i="93" s="1"/>
  <c r="R11" i="93" s="1"/>
  <c r="R12" i="93" s="1"/>
  <c r="R13" i="93" s="1"/>
  <c r="R14" i="93" s="1"/>
  <c r="R15" i="93" s="1"/>
  <c r="R16" i="93" s="1"/>
  <c r="R17" i="93" s="1"/>
  <c r="R18" i="93" s="1"/>
  <c r="R19" i="93" s="1"/>
  <c r="R20" i="93" s="1"/>
  <c r="R21" i="93" s="1"/>
  <c r="R22" i="93" s="1"/>
  <c r="R23" i="93" s="1"/>
  <c r="R24" i="93" s="1"/>
  <c r="R25" i="93" s="1"/>
  <c r="R26" i="93" s="1"/>
  <c r="R27" i="93" s="1"/>
  <c r="R28" i="93" s="1"/>
  <c r="R29" i="93" s="1"/>
  <c r="R30" i="93" s="1"/>
  <c r="R31" i="93" s="1"/>
  <c r="R32" i="93" s="1"/>
  <c r="R33" i="93" s="1"/>
  <c r="R34" i="93" s="1"/>
  <c r="R35" i="93" s="1"/>
  <c r="R36" i="93" s="1"/>
  <c r="R37" i="93" s="1"/>
  <c r="R38" i="93" s="1"/>
  <c r="R39" i="93" s="1"/>
  <c r="Q8" i="93"/>
  <c r="Q9" i="93" s="1"/>
  <c r="O8" i="93"/>
  <c r="K8" i="93"/>
  <c r="J8" i="93"/>
  <c r="I8" i="93"/>
  <c r="F2" i="93"/>
  <c r="L2" i="93" s="1"/>
  <c r="B128" i="87"/>
  <c r="C6" i="87"/>
  <c r="B6" i="87"/>
  <c r="N137" i="87"/>
  <c r="N136" i="87"/>
  <c r="N135" i="87"/>
  <c r="N134" i="87"/>
  <c r="N133" i="87"/>
  <c r="N132" i="87"/>
  <c r="N131" i="87"/>
  <c r="N130" i="87"/>
  <c r="N129" i="87"/>
  <c r="Q127" i="87"/>
  <c r="P137" i="87"/>
  <c r="O137" i="87"/>
  <c r="K137" i="87"/>
  <c r="J137" i="87"/>
  <c r="I137" i="87"/>
  <c r="H137" i="87"/>
  <c r="P136" i="87"/>
  <c r="O136" i="87"/>
  <c r="K136" i="87"/>
  <c r="J136" i="87"/>
  <c r="I136" i="87"/>
  <c r="H136" i="87"/>
  <c r="P135" i="87"/>
  <c r="O135" i="87"/>
  <c r="K135" i="87"/>
  <c r="J135" i="87"/>
  <c r="I135" i="87"/>
  <c r="H135" i="87"/>
  <c r="P134" i="87"/>
  <c r="O134" i="87"/>
  <c r="K134" i="87"/>
  <c r="J134" i="87"/>
  <c r="I134" i="87"/>
  <c r="H134" i="87"/>
  <c r="P133" i="87"/>
  <c r="O133" i="87"/>
  <c r="K133" i="87"/>
  <c r="J133" i="87"/>
  <c r="I133" i="87"/>
  <c r="H133" i="87"/>
  <c r="P132" i="87"/>
  <c r="O132" i="87"/>
  <c r="K132" i="87"/>
  <c r="J132" i="87"/>
  <c r="I132" i="87"/>
  <c r="H132" i="87"/>
  <c r="P131" i="87"/>
  <c r="O131" i="87"/>
  <c r="K131" i="87"/>
  <c r="J131" i="87"/>
  <c r="I131" i="87"/>
  <c r="H131" i="87"/>
  <c r="P130" i="87"/>
  <c r="O130" i="87"/>
  <c r="K130" i="87"/>
  <c r="J130" i="87"/>
  <c r="I130" i="87"/>
  <c r="H130" i="87"/>
  <c r="P129" i="87"/>
  <c r="O129" i="87"/>
  <c r="K129" i="87"/>
  <c r="J129" i="87"/>
  <c r="I129" i="87"/>
  <c r="H129" i="87"/>
  <c r="Q128" i="87"/>
  <c r="Q129" i="87" s="1"/>
  <c r="Q130" i="87" s="1"/>
  <c r="Q131" i="87" s="1"/>
  <c r="Q132" i="87" s="1"/>
  <c r="Q133" i="87" s="1"/>
  <c r="Q134" i="87" s="1"/>
  <c r="Q135" i="87" s="1"/>
  <c r="Q136" i="87" s="1"/>
  <c r="Q137" i="87" s="1"/>
  <c r="O128" i="87"/>
  <c r="K128" i="87"/>
  <c r="J128" i="87"/>
  <c r="B12" i="87"/>
  <c r="B11" i="87"/>
  <c r="B13" i="87"/>
  <c r="B14" i="87"/>
  <c r="B15" i="87"/>
  <c r="B111" i="87"/>
  <c r="B109" i="87"/>
  <c r="N124" i="87"/>
  <c r="N123" i="87"/>
  <c r="N121" i="87"/>
  <c r="N120" i="87"/>
  <c r="N119" i="87"/>
  <c r="N118" i="87"/>
  <c r="N117" i="87"/>
  <c r="N116" i="87"/>
  <c r="N115" i="87"/>
  <c r="N114" i="87"/>
  <c r="N113" i="87"/>
  <c r="N112" i="87"/>
  <c r="P124" i="87"/>
  <c r="O124" i="87"/>
  <c r="K124" i="87"/>
  <c r="J124" i="87"/>
  <c r="I124" i="87"/>
  <c r="H124" i="87"/>
  <c r="P123" i="87"/>
  <c r="O123" i="87"/>
  <c r="K123" i="87"/>
  <c r="J123" i="87"/>
  <c r="I123" i="87"/>
  <c r="H123" i="87"/>
  <c r="O122" i="87"/>
  <c r="K122" i="87"/>
  <c r="J122" i="87"/>
  <c r="P121" i="87"/>
  <c r="O121" i="87"/>
  <c r="K121" i="87"/>
  <c r="J121" i="87"/>
  <c r="I121" i="87"/>
  <c r="H121" i="87"/>
  <c r="P120" i="87"/>
  <c r="O120" i="87"/>
  <c r="K120" i="87"/>
  <c r="J120" i="87"/>
  <c r="I120" i="87"/>
  <c r="H120" i="87"/>
  <c r="P119" i="87"/>
  <c r="O119" i="87"/>
  <c r="K119" i="87"/>
  <c r="J119" i="87"/>
  <c r="I119" i="87"/>
  <c r="H119" i="87"/>
  <c r="P118" i="87"/>
  <c r="O118" i="87"/>
  <c r="K118" i="87"/>
  <c r="J118" i="87"/>
  <c r="I118" i="87"/>
  <c r="H118" i="87"/>
  <c r="P117" i="87"/>
  <c r="O117" i="87"/>
  <c r="K117" i="87"/>
  <c r="J117" i="87"/>
  <c r="I117" i="87"/>
  <c r="H117" i="87"/>
  <c r="P116" i="87"/>
  <c r="O116" i="87"/>
  <c r="K116" i="87"/>
  <c r="J116" i="87"/>
  <c r="I116" i="87"/>
  <c r="H116" i="87"/>
  <c r="P115" i="87"/>
  <c r="O115" i="87"/>
  <c r="K115" i="87"/>
  <c r="J115" i="87"/>
  <c r="I115" i="87"/>
  <c r="H115" i="87"/>
  <c r="P114" i="87"/>
  <c r="O114" i="87"/>
  <c r="K114" i="87"/>
  <c r="J114" i="87"/>
  <c r="I114" i="87"/>
  <c r="H114" i="87"/>
  <c r="P113" i="87"/>
  <c r="O113" i="87"/>
  <c r="K113" i="87"/>
  <c r="J113" i="87"/>
  <c r="I113" i="87"/>
  <c r="H113" i="87"/>
  <c r="P112" i="87"/>
  <c r="O112" i="87"/>
  <c r="K112" i="87"/>
  <c r="J112" i="87"/>
  <c r="I112" i="87"/>
  <c r="H112" i="87"/>
  <c r="O111" i="87"/>
  <c r="K111" i="87"/>
  <c r="J111" i="87"/>
  <c r="O110" i="87"/>
  <c r="K110" i="87"/>
  <c r="J110" i="87"/>
  <c r="I110" i="87"/>
  <c r="O109" i="87"/>
  <c r="K109" i="87"/>
  <c r="J109" i="87"/>
  <c r="I109" i="87"/>
  <c r="B49" i="87"/>
  <c r="B48" i="87"/>
  <c r="B47" i="87"/>
  <c r="B46" i="87"/>
  <c r="B45" i="87"/>
  <c r="B80" i="87"/>
  <c r="B79" i="87"/>
  <c r="B78" i="87"/>
  <c r="B77" i="87"/>
  <c r="N105" i="87"/>
  <c r="N104" i="87"/>
  <c r="N103" i="87"/>
  <c r="N102" i="87"/>
  <c r="N101" i="87"/>
  <c r="N100" i="87"/>
  <c r="N99" i="87"/>
  <c r="N98" i="87"/>
  <c r="N97" i="87"/>
  <c r="N96" i="87"/>
  <c r="N95" i="87"/>
  <c r="N94" i="87"/>
  <c r="N93" i="87"/>
  <c r="N92" i="87"/>
  <c r="N91" i="87"/>
  <c r="N90" i="87"/>
  <c r="N89" i="87"/>
  <c r="N88" i="87"/>
  <c r="N87" i="87"/>
  <c r="N86" i="87"/>
  <c r="N85" i="87"/>
  <c r="N84" i="87"/>
  <c r="N83" i="87"/>
  <c r="N82" i="87"/>
  <c r="N81" i="87"/>
  <c r="P105" i="87"/>
  <c r="O105" i="87"/>
  <c r="K105" i="87"/>
  <c r="J105" i="87"/>
  <c r="I105" i="87"/>
  <c r="H105" i="87"/>
  <c r="P104" i="87"/>
  <c r="O104" i="87"/>
  <c r="K104" i="87"/>
  <c r="J104" i="87"/>
  <c r="I104" i="87"/>
  <c r="H104" i="87"/>
  <c r="P103" i="87"/>
  <c r="O103" i="87"/>
  <c r="K103" i="87"/>
  <c r="J103" i="87"/>
  <c r="I103" i="87"/>
  <c r="H103" i="87"/>
  <c r="P102" i="87"/>
  <c r="O102" i="87"/>
  <c r="K102" i="87"/>
  <c r="J102" i="87"/>
  <c r="I102" i="87"/>
  <c r="H102" i="87"/>
  <c r="P101" i="87"/>
  <c r="O101" i="87"/>
  <c r="K101" i="87"/>
  <c r="J101" i="87"/>
  <c r="I101" i="87"/>
  <c r="H101" i="87"/>
  <c r="P100" i="87"/>
  <c r="O100" i="87"/>
  <c r="K100" i="87"/>
  <c r="J100" i="87"/>
  <c r="I100" i="87"/>
  <c r="H100" i="87"/>
  <c r="P99" i="87"/>
  <c r="O99" i="87"/>
  <c r="K99" i="87"/>
  <c r="J99" i="87"/>
  <c r="I99" i="87"/>
  <c r="H99" i="87"/>
  <c r="P98" i="87"/>
  <c r="O98" i="87"/>
  <c r="K98" i="87"/>
  <c r="J98" i="87"/>
  <c r="I98" i="87"/>
  <c r="H98" i="87"/>
  <c r="P97" i="87"/>
  <c r="O97" i="87"/>
  <c r="K97" i="87"/>
  <c r="J97" i="87"/>
  <c r="I97" i="87"/>
  <c r="H97" i="87"/>
  <c r="P96" i="87"/>
  <c r="O96" i="87"/>
  <c r="K96" i="87"/>
  <c r="J96" i="87"/>
  <c r="I96" i="87"/>
  <c r="H96" i="87"/>
  <c r="P95" i="87"/>
  <c r="O95" i="87"/>
  <c r="K95" i="87"/>
  <c r="J95" i="87"/>
  <c r="I95" i="87"/>
  <c r="H95" i="87"/>
  <c r="P94" i="87"/>
  <c r="O94" i="87"/>
  <c r="K94" i="87"/>
  <c r="J94" i="87"/>
  <c r="I94" i="87"/>
  <c r="H94" i="87"/>
  <c r="P93" i="87"/>
  <c r="O93" i="87"/>
  <c r="K93" i="87"/>
  <c r="J93" i="87"/>
  <c r="I93" i="87"/>
  <c r="H93" i="87"/>
  <c r="P92" i="87"/>
  <c r="O92" i="87"/>
  <c r="K92" i="87"/>
  <c r="J92" i="87"/>
  <c r="I92" i="87"/>
  <c r="H92" i="87"/>
  <c r="P91" i="87"/>
  <c r="O91" i="87"/>
  <c r="K91" i="87"/>
  <c r="J91" i="87"/>
  <c r="I91" i="87"/>
  <c r="H91" i="87"/>
  <c r="P90" i="87"/>
  <c r="O90" i="87"/>
  <c r="K90" i="87"/>
  <c r="J90" i="87"/>
  <c r="I90" i="87"/>
  <c r="H90" i="87"/>
  <c r="P89" i="87"/>
  <c r="O89" i="87"/>
  <c r="K89" i="87"/>
  <c r="J89" i="87"/>
  <c r="I89" i="87"/>
  <c r="H89" i="87"/>
  <c r="P88" i="87"/>
  <c r="O88" i="87"/>
  <c r="K88" i="87"/>
  <c r="J88" i="87"/>
  <c r="I88" i="87"/>
  <c r="H88" i="87"/>
  <c r="P87" i="87"/>
  <c r="O87" i="87"/>
  <c r="K87" i="87"/>
  <c r="J87" i="87"/>
  <c r="I87" i="87"/>
  <c r="H87" i="87"/>
  <c r="P86" i="87"/>
  <c r="O86" i="87"/>
  <c r="K86" i="87"/>
  <c r="J86" i="87"/>
  <c r="I86" i="87"/>
  <c r="H86" i="87"/>
  <c r="P85" i="87"/>
  <c r="O85" i="87"/>
  <c r="K85" i="87"/>
  <c r="J85" i="87"/>
  <c r="I85" i="87"/>
  <c r="H85" i="87"/>
  <c r="P84" i="87"/>
  <c r="O84" i="87"/>
  <c r="K84" i="87"/>
  <c r="J84" i="87"/>
  <c r="I84" i="87"/>
  <c r="H84" i="87"/>
  <c r="P83" i="87"/>
  <c r="O83" i="87"/>
  <c r="K83" i="87"/>
  <c r="J83" i="87"/>
  <c r="I83" i="87"/>
  <c r="H83" i="87"/>
  <c r="P82" i="87"/>
  <c r="O82" i="87"/>
  <c r="K82" i="87"/>
  <c r="J82" i="87"/>
  <c r="I82" i="87"/>
  <c r="H82" i="87"/>
  <c r="P81" i="87"/>
  <c r="O81" i="87"/>
  <c r="K81" i="87"/>
  <c r="J81" i="87"/>
  <c r="I81" i="87"/>
  <c r="H81" i="87"/>
  <c r="O80" i="87"/>
  <c r="K80" i="87"/>
  <c r="J80" i="87"/>
  <c r="O79" i="87"/>
  <c r="K79" i="87"/>
  <c r="J79" i="87"/>
  <c r="O78" i="87"/>
  <c r="K78" i="87"/>
  <c r="J78" i="87"/>
  <c r="O77" i="87"/>
  <c r="K77" i="87"/>
  <c r="J77" i="87"/>
  <c r="B44" i="87"/>
  <c r="B43" i="87"/>
  <c r="N73" i="87"/>
  <c r="N72" i="87"/>
  <c r="N71" i="87"/>
  <c r="N70" i="87"/>
  <c r="N69" i="87"/>
  <c r="N68" i="87"/>
  <c r="N67" i="87"/>
  <c r="N66" i="87"/>
  <c r="N65" i="87"/>
  <c r="N64" i="87"/>
  <c r="N63" i="87"/>
  <c r="N62" i="87"/>
  <c r="N61" i="87"/>
  <c r="N60" i="87"/>
  <c r="N59" i="87"/>
  <c r="N58" i="87"/>
  <c r="N57" i="87"/>
  <c r="N56" i="87"/>
  <c r="N55" i="87"/>
  <c r="N54" i="87"/>
  <c r="N53" i="87"/>
  <c r="N52" i="87"/>
  <c r="N51" i="87"/>
  <c r="N50" i="87"/>
  <c r="P73" i="87"/>
  <c r="O73" i="87"/>
  <c r="K73" i="87"/>
  <c r="J73" i="87"/>
  <c r="I73" i="87"/>
  <c r="H73" i="87"/>
  <c r="P72" i="87"/>
  <c r="O72" i="87"/>
  <c r="K72" i="87"/>
  <c r="J72" i="87"/>
  <c r="I72" i="87"/>
  <c r="H72" i="87"/>
  <c r="P71" i="87"/>
  <c r="O71" i="87"/>
  <c r="K71" i="87"/>
  <c r="J71" i="87"/>
  <c r="I71" i="87"/>
  <c r="H71" i="87"/>
  <c r="P70" i="87"/>
  <c r="O70" i="87"/>
  <c r="K70" i="87"/>
  <c r="J70" i="87"/>
  <c r="I70" i="87"/>
  <c r="H70" i="87"/>
  <c r="P69" i="87"/>
  <c r="O69" i="87"/>
  <c r="K69" i="87"/>
  <c r="J69" i="87"/>
  <c r="I69" i="87"/>
  <c r="H69" i="87"/>
  <c r="P68" i="87"/>
  <c r="O68" i="87"/>
  <c r="K68" i="87"/>
  <c r="J68" i="87"/>
  <c r="I68" i="87"/>
  <c r="H68" i="87"/>
  <c r="P67" i="87"/>
  <c r="O67" i="87"/>
  <c r="K67" i="87"/>
  <c r="J67" i="87"/>
  <c r="I67" i="87"/>
  <c r="H67" i="87"/>
  <c r="P66" i="87"/>
  <c r="O66" i="87"/>
  <c r="K66" i="87"/>
  <c r="J66" i="87"/>
  <c r="I66" i="87"/>
  <c r="H66" i="87"/>
  <c r="P65" i="87"/>
  <c r="O65" i="87"/>
  <c r="K65" i="87"/>
  <c r="J65" i="87"/>
  <c r="I65" i="87"/>
  <c r="H65" i="87"/>
  <c r="P64" i="87"/>
  <c r="O64" i="87"/>
  <c r="K64" i="87"/>
  <c r="J64" i="87"/>
  <c r="I64" i="87"/>
  <c r="H64" i="87"/>
  <c r="P63" i="87"/>
  <c r="O63" i="87"/>
  <c r="K63" i="87"/>
  <c r="J63" i="87"/>
  <c r="I63" i="87"/>
  <c r="H63" i="87"/>
  <c r="P62" i="87"/>
  <c r="O62" i="87"/>
  <c r="K62" i="87"/>
  <c r="J62" i="87"/>
  <c r="I62" i="87"/>
  <c r="H62" i="87"/>
  <c r="P61" i="87"/>
  <c r="O61" i="87"/>
  <c r="K61" i="87"/>
  <c r="J61" i="87"/>
  <c r="I61" i="87"/>
  <c r="H61" i="87"/>
  <c r="P60" i="87"/>
  <c r="O60" i="87"/>
  <c r="K60" i="87"/>
  <c r="J60" i="87"/>
  <c r="I60" i="87"/>
  <c r="H60" i="87"/>
  <c r="P59" i="87"/>
  <c r="O59" i="87"/>
  <c r="K59" i="87"/>
  <c r="J59" i="87"/>
  <c r="I59" i="87"/>
  <c r="H59" i="87"/>
  <c r="P58" i="87"/>
  <c r="O58" i="87"/>
  <c r="K58" i="87"/>
  <c r="J58" i="87"/>
  <c r="I58" i="87"/>
  <c r="H58" i="87"/>
  <c r="P57" i="87"/>
  <c r="O57" i="87"/>
  <c r="K57" i="87"/>
  <c r="J57" i="87"/>
  <c r="I57" i="87"/>
  <c r="H57" i="87"/>
  <c r="P56" i="87"/>
  <c r="O56" i="87"/>
  <c r="K56" i="87"/>
  <c r="J56" i="87"/>
  <c r="I56" i="87"/>
  <c r="H56" i="87"/>
  <c r="P55" i="87"/>
  <c r="O55" i="87"/>
  <c r="K55" i="87"/>
  <c r="J55" i="87"/>
  <c r="I55" i="87"/>
  <c r="H55" i="87"/>
  <c r="P54" i="87"/>
  <c r="O54" i="87"/>
  <c r="K54" i="87"/>
  <c r="J54" i="87"/>
  <c r="I54" i="87"/>
  <c r="H54" i="87"/>
  <c r="P53" i="87"/>
  <c r="O53" i="87"/>
  <c r="K53" i="87"/>
  <c r="J53" i="87"/>
  <c r="I53" i="87"/>
  <c r="H53" i="87"/>
  <c r="P52" i="87"/>
  <c r="O52" i="87"/>
  <c r="K52" i="87"/>
  <c r="J52" i="87"/>
  <c r="I52" i="87"/>
  <c r="H52" i="87"/>
  <c r="P51" i="87"/>
  <c r="O51" i="87"/>
  <c r="K51" i="87"/>
  <c r="J51" i="87"/>
  <c r="I51" i="87"/>
  <c r="H51" i="87"/>
  <c r="P50" i="87"/>
  <c r="O50" i="87"/>
  <c r="K50" i="87"/>
  <c r="J50" i="87"/>
  <c r="I50" i="87"/>
  <c r="H50" i="87"/>
  <c r="O49" i="87"/>
  <c r="K49" i="87"/>
  <c r="J49" i="87"/>
  <c r="O48" i="87"/>
  <c r="K48" i="87"/>
  <c r="J48" i="87"/>
  <c r="O47" i="87"/>
  <c r="K47" i="87"/>
  <c r="J47" i="87"/>
  <c r="O46" i="87"/>
  <c r="K46" i="87"/>
  <c r="J46" i="87"/>
  <c r="I46" i="87"/>
  <c r="O45" i="87"/>
  <c r="K45" i="87"/>
  <c r="J45" i="87"/>
  <c r="O44" i="87"/>
  <c r="K44" i="87"/>
  <c r="J44" i="87"/>
  <c r="O43" i="87"/>
  <c r="K43" i="87"/>
  <c r="J43" i="87"/>
  <c r="P39" i="90"/>
  <c r="O39" i="90"/>
  <c r="N39" i="90"/>
  <c r="K39" i="90"/>
  <c r="J39" i="90"/>
  <c r="I39" i="90"/>
  <c r="H39" i="90"/>
  <c r="P38" i="90"/>
  <c r="O38" i="90"/>
  <c r="N38" i="90"/>
  <c r="K38" i="90"/>
  <c r="J38" i="90"/>
  <c r="I38" i="90"/>
  <c r="H38" i="90"/>
  <c r="P37" i="90"/>
  <c r="O37" i="90"/>
  <c r="N37" i="90"/>
  <c r="K37" i="90"/>
  <c r="J37" i="90"/>
  <c r="I37" i="90"/>
  <c r="H37" i="90"/>
  <c r="P36" i="90"/>
  <c r="O36" i="90"/>
  <c r="N36" i="90"/>
  <c r="K36" i="90"/>
  <c r="J36" i="90"/>
  <c r="I36" i="90"/>
  <c r="H36" i="90"/>
  <c r="P35" i="90"/>
  <c r="O35" i="90"/>
  <c r="N35" i="90"/>
  <c r="K35" i="90"/>
  <c r="J35" i="90"/>
  <c r="I35" i="90"/>
  <c r="H35" i="90"/>
  <c r="P34" i="90"/>
  <c r="O34" i="90"/>
  <c r="N34" i="90"/>
  <c r="K34" i="90"/>
  <c r="J34" i="90"/>
  <c r="I34" i="90"/>
  <c r="H34" i="90"/>
  <c r="P33" i="90"/>
  <c r="O33" i="90"/>
  <c r="N33" i="90"/>
  <c r="K33" i="90"/>
  <c r="J33" i="90"/>
  <c r="I33" i="90"/>
  <c r="H33" i="90"/>
  <c r="P32" i="90"/>
  <c r="O32" i="90"/>
  <c r="N32" i="90"/>
  <c r="K32" i="90"/>
  <c r="J32" i="90"/>
  <c r="I32" i="90"/>
  <c r="H32" i="90"/>
  <c r="P31" i="90"/>
  <c r="O31" i="90"/>
  <c r="N31" i="90"/>
  <c r="K31" i="90"/>
  <c r="J31" i="90"/>
  <c r="I31" i="90"/>
  <c r="H31" i="90"/>
  <c r="P30" i="90"/>
  <c r="O30" i="90"/>
  <c r="N30" i="90"/>
  <c r="K30" i="90"/>
  <c r="J30" i="90"/>
  <c r="I30" i="90"/>
  <c r="H30" i="90"/>
  <c r="P29" i="90"/>
  <c r="O29" i="90"/>
  <c r="N29" i="90"/>
  <c r="K29" i="90"/>
  <c r="J29" i="90"/>
  <c r="I29" i="90"/>
  <c r="H29" i="90"/>
  <c r="P28" i="90"/>
  <c r="O28" i="90"/>
  <c r="N28" i="90"/>
  <c r="K28" i="90"/>
  <c r="J28" i="90"/>
  <c r="I28" i="90"/>
  <c r="H28" i="90"/>
  <c r="P27" i="90"/>
  <c r="O27" i="90"/>
  <c r="N27" i="90"/>
  <c r="K27" i="90"/>
  <c r="J27" i="90"/>
  <c r="I27" i="90"/>
  <c r="H27" i="90"/>
  <c r="P26" i="90"/>
  <c r="O26" i="90"/>
  <c r="N26" i="90"/>
  <c r="K26" i="90"/>
  <c r="J26" i="90"/>
  <c r="I26" i="90"/>
  <c r="H26" i="90"/>
  <c r="P25" i="90"/>
  <c r="O25" i="90"/>
  <c r="N25" i="90"/>
  <c r="K25" i="90"/>
  <c r="J25" i="90"/>
  <c r="I25" i="90"/>
  <c r="H25" i="90"/>
  <c r="P24" i="90"/>
  <c r="O24" i="90"/>
  <c r="N24" i="90"/>
  <c r="K24" i="90"/>
  <c r="J24" i="90"/>
  <c r="I24" i="90"/>
  <c r="H24" i="90"/>
  <c r="P23" i="90"/>
  <c r="O23" i="90"/>
  <c r="N23" i="90"/>
  <c r="K23" i="90"/>
  <c r="J23" i="90"/>
  <c r="I23" i="90"/>
  <c r="H23" i="90"/>
  <c r="P22" i="90"/>
  <c r="O22" i="90"/>
  <c r="N22" i="90"/>
  <c r="K22" i="90"/>
  <c r="J22" i="90"/>
  <c r="I22" i="90"/>
  <c r="H22" i="90"/>
  <c r="P21" i="90"/>
  <c r="O21" i="90"/>
  <c r="N21" i="90"/>
  <c r="K21" i="90"/>
  <c r="J21" i="90"/>
  <c r="I21" i="90"/>
  <c r="H21" i="90"/>
  <c r="P20" i="90"/>
  <c r="O20" i="90"/>
  <c r="N20" i="90"/>
  <c r="K20" i="90"/>
  <c r="J20" i="90"/>
  <c r="I20" i="90"/>
  <c r="H20" i="90"/>
  <c r="P19" i="90"/>
  <c r="O19" i="90"/>
  <c r="N19" i="90"/>
  <c r="K19" i="90"/>
  <c r="J19" i="90"/>
  <c r="I19" i="90"/>
  <c r="H19" i="90"/>
  <c r="P18" i="90"/>
  <c r="O18" i="90"/>
  <c r="N18" i="90"/>
  <c r="K18" i="90"/>
  <c r="J18" i="90"/>
  <c r="I18" i="90"/>
  <c r="H18" i="90"/>
  <c r="P17" i="90"/>
  <c r="O17" i="90"/>
  <c r="N17" i="90"/>
  <c r="K17" i="90"/>
  <c r="J17" i="90"/>
  <c r="I17" i="90"/>
  <c r="H17" i="90"/>
  <c r="P16" i="90"/>
  <c r="O16" i="90"/>
  <c r="N16" i="90"/>
  <c r="K16" i="90"/>
  <c r="J16" i="90"/>
  <c r="I16" i="90"/>
  <c r="H16" i="90"/>
  <c r="P15" i="90"/>
  <c r="O15" i="90"/>
  <c r="N15" i="90"/>
  <c r="K15" i="90"/>
  <c r="J15" i="90"/>
  <c r="I15" i="90"/>
  <c r="H15" i="90"/>
  <c r="P14" i="90"/>
  <c r="O14" i="90"/>
  <c r="N14" i="90"/>
  <c r="K14" i="90"/>
  <c r="J14" i="90"/>
  <c r="I14" i="90"/>
  <c r="H14" i="90"/>
  <c r="P13" i="90"/>
  <c r="O13" i="90"/>
  <c r="N13" i="90"/>
  <c r="K13" i="90"/>
  <c r="J13" i="90"/>
  <c r="I13" i="90"/>
  <c r="H13" i="90"/>
  <c r="P12" i="90"/>
  <c r="O12" i="90"/>
  <c r="N12" i="90"/>
  <c r="K12" i="90"/>
  <c r="J12" i="90"/>
  <c r="I12" i="90"/>
  <c r="H12" i="90"/>
  <c r="P11" i="90"/>
  <c r="O11" i="90"/>
  <c r="N11" i="90"/>
  <c r="K11" i="90"/>
  <c r="J11" i="90"/>
  <c r="I11" i="90"/>
  <c r="H11" i="90"/>
  <c r="P10" i="90"/>
  <c r="O10" i="90"/>
  <c r="N10" i="90"/>
  <c r="K10" i="90"/>
  <c r="J10" i="90"/>
  <c r="I10" i="90"/>
  <c r="H10" i="90"/>
  <c r="Q9" i="90"/>
  <c r="Q10" i="90" s="1"/>
  <c r="Q11" i="90" s="1"/>
  <c r="Q12" i="90" s="1"/>
  <c r="Q13" i="90" s="1"/>
  <c r="Q14" i="90" s="1"/>
  <c r="Q15" i="90" s="1"/>
  <c r="Q16" i="90" s="1"/>
  <c r="Q17" i="90" s="1"/>
  <c r="Q18" i="90" s="1"/>
  <c r="Q19" i="90" s="1"/>
  <c r="Q20" i="90" s="1"/>
  <c r="Q21" i="90" s="1"/>
  <c r="Q22" i="90" s="1"/>
  <c r="Q23" i="90" s="1"/>
  <c r="Q24" i="90" s="1"/>
  <c r="Q25" i="90" s="1"/>
  <c r="Q26" i="90" s="1"/>
  <c r="Q27" i="90" s="1"/>
  <c r="Q28" i="90" s="1"/>
  <c r="Q29" i="90" s="1"/>
  <c r="Q30" i="90" s="1"/>
  <c r="Q31" i="90" s="1"/>
  <c r="Q32" i="90" s="1"/>
  <c r="Q33" i="90" s="1"/>
  <c r="Q34" i="90" s="1"/>
  <c r="Q35" i="90" s="1"/>
  <c r="Q36" i="90" s="1"/>
  <c r="Q37" i="90" s="1"/>
  <c r="Q38" i="90" s="1"/>
  <c r="Q39" i="90" s="1"/>
  <c r="P9" i="90"/>
  <c r="O9" i="90"/>
  <c r="N9" i="90"/>
  <c r="K9" i="90"/>
  <c r="J9" i="90"/>
  <c r="I9" i="90"/>
  <c r="H9" i="90"/>
  <c r="R8" i="90"/>
  <c r="R9" i="90" s="1"/>
  <c r="R10" i="90" s="1"/>
  <c r="R11" i="90" s="1"/>
  <c r="R12" i="90" s="1"/>
  <c r="R13" i="90" s="1"/>
  <c r="R14" i="90" s="1"/>
  <c r="R15" i="90" s="1"/>
  <c r="R16" i="90" s="1"/>
  <c r="R17" i="90" s="1"/>
  <c r="R18" i="90" s="1"/>
  <c r="R19" i="90" s="1"/>
  <c r="R20" i="90" s="1"/>
  <c r="R21" i="90" s="1"/>
  <c r="R22" i="90" s="1"/>
  <c r="R23" i="90" s="1"/>
  <c r="R24" i="90" s="1"/>
  <c r="R25" i="90" s="1"/>
  <c r="R26" i="90" s="1"/>
  <c r="R27" i="90" s="1"/>
  <c r="R28" i="90" s="1"/>
  <c r="R29" i="90" s="1"/>
  <c r="R30" i="90" s="1"/>
  <c r="R31" i="90" s="1"/>
  <c r="R32" i="90" s="1"/>
  <c r="R33" i="90" s="1"/>
  <c r="R34" i="90" s="1"/>
  <c r="R35" i="90" s="1"/>
  <c r="R36" i="90" s="1"/>
  <c r="R37" i="90" s="1"/>
  <c r="R38" i="90" s="1"/>
  <c r="R39" i="90" s="1"/>
  <c r="Q8" i="90"/>
  <c r="P8" i="90"/>
  <c r="O8" i="90"/>
  <c r="N8" i="90"/>
  <c r="K8" i="90"/>
  <c r="J8" i="90"/>
  <c r="I8" i="90"/>
  <c r="H8" i="90"/>
  <c r="C6" i="90"/>
  <c r="B6" i="90"/>
  <c r="L2" i="90"/>
  <c r="F2" i="90"/>
  <c r="B64" i="1"/>
  <c r="B24" i="1"/>
  <c r="C6" i="1"/>
  <c r="B6" i="1"/>
  <c r="N76" i="1"/>
  <c r="N75" i="1"/>
  <c r="N74" i="1"/>
  <c r="N73" i="1"/>
  <c r="N72" i="1"/>
  <c r="N71" i="1"/>
  <c r="N70" i="1"/>
  <c r="N69" i="1"/>
  <c r="N68" i="1"/>
  <c r="N67" i="1"/>
  <c r="N66" i="1"/>
  <c r="N65" i="1"/>
  <c r="P76" i="1"/>
  <c r="O76" i="1"/>
  <c r="K76" i="1"/>
  <c r="J76" i="1"/>
  <c r="I76" i="1"/>
  <c r="H76" i="1"/>
  <c r="P75" i="1"/>
  <c r="O75" i="1"/>
  <c r="K75" i="1"/>
  <c r="J75" i="1"/>
  <c r="I75" i="1"/>
  <c r="H75" i="1"/>
  <c r="P74" i="1"/>
  <c r="O74" i="1"/>
  <c r="K74" i="1"/>
  <c r="J74" i="1"/>
  <c r="I74" i="1"/>
  <c r="H74" i="1"/>
  <c r="P73" i="1"/>
  <c r="O73" i="1"/>
  <c r="K73" i="1"/>
  <c r="J73" i="1"/>
  <c r="I73" i="1"/>
  <c r="H73" i="1"/>
  <c r="P72" i="1"/>
  <c r="O72" i="1"/>
  <c r="K72" i="1"/>
  <c r="J72" i="1"/>
  <c r="I72" i="1"/>
  <c r="H72" i="1"/>
  <c r="P71" i="1"/>
  <c r="O71" i="1"/>
  <c r="K71" i="1"/>
  <c r="J71" i="1"/>
  <c r="I71" i="1"/>
  <c r="H71" i="1"/>
  <c r="P70" i="1"/>
  <c r="O70" i="1"/>
  <c r="K70" i="1"/>
  <c r="J70" i="1"/>
  <c r="I70" i="1"/>
  <c r="H70" i="1"/>
  <c r="P69" i="1"/>
  <c r="O69" i="1"/>
  <c r="K69" i="1"/>
  <c r="J69" i="1"/>
  <c r="I69" i="1"/>
  <c r="H69" i="1"/>
  <c r="P68" i="1"/>
  <c r="O68" i="1"/>
  <c r="K68" i="1"/>
  <c r="J68" i="1"/>
  <c r="I68" i="1"/>
  <c r="H68" i="1"/>
  <c r="P67" i="1"/>
  <c r="O67" i="1"/>
  <c r="K67" i="1"/>
  <c r="J67" i="1"/>
  <c r="I67" i="1"/>
  <c r="H67" i="1"/>
  <c r="P66" i="1"/>
  <c r="O66" i="1"/>
  <c r="K66" i="1"/>
  <c r="J66" i="1"/>
  <c r="I66" i="1"/>
  <c r="H66" i="1"/>
  <c r="P65" i="1"/>
  <c r="O65" i="1"/>
  <c r="K65" i="1"/>
  <c r="J65" i="1"/>
  <c r="I65" i="1"/>
  <c r="H65" i="1"/>
  <c r="O64" i="1"/>
  <c r="K64" i="1"/>
  <c r="J64" i="1"/>
  <c r="B23" i="1"/>
  <c r="B25" i="1"/>
  <c r="B43" i="1"/>
  <c r="N60" i="1"/>
  <c r="N59" i="1"/>
  <c r="N57" i="1"/>
  <c r="N56" i="1"/>
  <c r="N55" i="1"/>
  <c r="N54" i="1"/>
  <c r="N53" i="1"/>
  <c r="N52" i="1"/>
  <c r="N51" i="1"/>
  <c r="N50" i="1"/>
  <c r="N49" i="1"/>
  <c r="N48" i="1"/>
  <c r="N47" i="1"/>
  <c r="N46" i="1"/>
  <c r="N45" i="1"/>
  <c r="N44" i="1"/>
  <c r="P60" i="1"/>
  <c r="O60" i="1"/>
  <c r="K60" i="1"/>
  <c r="J60" i="1"/>
  <c r="I60" i="1"/>
  <c r="H60" i="1"/>
  <c r="P59" i="1"/>
  <c r="O59" i="1"/>
  <c r="K59" i="1"/>
  <c r="J59" i="1"/>
  <c r="I59" i="1"/>
  <c r="H59" i="1"/>
  <c r="O58" i="1"/>
  <c r="K58" i="1"/>
  <c r="J58" i="1"/>
  <c r="P57" i="1"/>
  <c r="O57" i="1"/>
  <c r="K57" i="1"/>
  <c r="J57" i="1"/>
  <c r="I57" i="1"/>
  <c r="H57" i="1"/>
  <c r="P56" i="1"/>
  <c r="O56" i="1"/>
  <c r="K56" i="1"/>
  <c r="J56" i="1"/>
  <c r="I56" i="1"/>
  <c r="H56" i="1"/>
  <c r="P55" i="1"/>
  <c r="O55" i="1"/>
  <c r="K55" i="1"/>
  <c r="J55" i="1"/>
  <c r="I55" i="1"/>
  <c r="H55" i="1"/>
  <c r="P54" i="1"/>
  <c r="O54" i="1"/>
  <c r="K54" i="1"/>
  <c r="J54" i="1"/>
  <c r="I54" i="1"/>
  <c r="H54" i="1"/>
  <c r="P53" i="1"/>
  <c r="O53" i="1"/>
  <c r="K53" i="1"/>
  <c r="J53" i="1"/>
  <c r="I53" i="1"/>
  <c r="H53" i="1"/>
  <c r="P52" i="1"/>
  <c r="O52" i="1"/>
  <c r="K52" i="1"/>
  <c r="J52" i="1"/>
  <c r="I52" i="1"/>
  <c r="H52" i="1"/>
  <c r="P51" i="1"/>
  <c r="O51" i="1"/>
  <c r="K51" i="1"/>
  <c r="J51" i="1"/>
  <c r="I51" i="1"/>
  <c r="H51" i="1"/>
  <c r="P50" i="1"/>
  <c r="O50" i="1"/>
  <c r="K50" i="1"/>
  <c r="J50" i="1"/>
  <c r="I50" i="1"/>
  <c r="H50" i="1"/>
  <c r="P49" i="1"/>
  <c r="O49" i="1"/>
  <c r="K49" i="1"/>
  <c r="J49" i="1"/>
  <c r="I49" i="1"/>
  <c r="H49" i="1"/>
  <c r="P48" i="1"/>
  <c r="O48" i="1"/>
  <c r="K48" i="1"/>
  <c r="J48" i="1"/>
  <c r="I48" i="1"/>
  <c r="H48" i="1"/>
  <c r="P47" i="1"/>
  <c r="O47" i="1"/>
  <c r="K47" i="1"/>
  <c r="J47" i="1"/>
  <c r="I47" i="1"/>
  <c r="H47" i="1"/>
  <c r="P46" i="1"/>
  <c r="O46" i="1"/>
  <c r="K46" i="1"/>
  <c r="J46" i="1"/>
  <c r="I46" i="1"/>
  <c r="H46" i="1"/>
  <c r="P45" i="1"/>
  <c r="O45" i="1"/>
  <c r="K45" i="1"/>
  <c r="J45" i="1"/>
  <c r="I45" i="1"/>
  <c r="H45" i="1"/>
  <c r="P44" i="1"/>
  <c r="O44" i="1"/>
  <c r="K44" i="1"/>
  <c r="J44" i="1"/>
  <c r="I44" i="1"/>
  <c r="H44" i="1"/>
  <c r="O43" i="1"/>
  <c r="K43" i="1"/>
  <c r="J43" i="1"/>
  <c r="B22" i="1"/>
  <c r="B21" i="1"/>
  <c r="B20" i="1"/>
  <c r="B19" i="1"/>
  <c r="B18" i="1"/>
  <c r="B17" i="1"/>
  <c r="B16" i="1"/>
  <c r="B15" i="1"/>
  <c r="B14" i="1"/>
  <c r="B13" i="1"/>
  <c r="B12" i="1"/>
  <c r="B11" i="1"/>
  <c r="B10" i="1"/>
  <c r="B9" i="1"/>
  <c r="N16" i="96" l="1"/>
  <c r="P15" i="96"/>
  <c r="N77" i="96"/>
  <c r="H76" i="96"/>
  <c r="I76" i="96" s="1"/>
  <c r="N44" i="96"/>
  <c r="P43" i="96"/>
  <c r="N12" i="96"/>
  <c r="N11" i="96"/>
  <c r="P11" i="96" s="1"/>
  <c r="Q10" i="96"/>
  <c r="N9" i="96"/>
  <c r="P8" i="96"/>
  <c r="R103" i="93"/>
  <c r="R104" i="93" s="1"/>
  <c r="R105" i="93" s="1"/>
  <c r="R106" i="93" s="1"/>
  <c r="R107" i="93" s="1"/>
  <c r="R42" i="93"/>
  <c r="R43" i="93" s="1"/>
  <c r="R44" i="93" s="1"/>
  <c r="R45" i="93" s="1"/>
  <c r="R46" i="93" s="1"/>
  <c r="B6" i="93"/>
  <c r="N77" i="93"/>
  <c r="N10" i="93"/>
  <c r="Q10" i="93"/>
  <c r="N9" i="93"/>
  <c r="N8" i="93"/>
  <c r="P39" i="87"/>
  <c r="O39" i="87"/>
  <c r="N39" i="87"/>
  <c r="K39" i="87"/>
  <c r="J39" i="87"/>
  <c r="I39" i="87"/>
  <c r="H39" i="87"/>
  <c r="P38" i="87"/>
  <c r="O38" i="87"/>
  <c r="N38" i="87"/>
  <c r="K38" i="87"/>
  <c r="J38" i="87"/>
  <c r="I38" i="87"/>
  <c r="H38" i="87"/>
  <c r="P37" i="87"/>
  <c r="O37" i="87"/>
  <c r="N37" i="87"/>
  <c r="K37" i="87"/>
  <c r="J37" i="87"/>
  <c r="I37" i="87"/>
  <c r="H37" i="87"/>
  <c r="P36" i="87"/>
  <c r="O36" i="87"/>
  <c r="N36" i="87"/>
  <c r="K36" i="87"/>
  <c r="J36" i="87"/>
  <c r="I36" i="87"/>
  <c r="H36" i="87"/>
  <c r="P35" i="87"/>
  <c r="O35" i="87"/>
  <c r="N35" i="87"/>
  <c r="K35" i="87"/>
  <c r="J35" i="87"/>
  <c r="I35" i="87"/>
  <c r="H35" i="87"/>
  <c r="P34" i="87"/>
  <c r="O34" i="87"/>
  <c r="N34" i="87"/>
  <c r="K34" i="87"/>
  <c r="J34" i="87"/>
  <c r="I34" i="87"/>
  <c r="H34" i="87"/>
  <c r="P33" i="87"/>
  <c r="O33" i="87"/>
  <c r="N33" i="87"/>
  <c r="K33" i="87"/>
  <c r="J33" i="87"/>
  <c r="I33" i="87"/>
  <c r="H33" i="87"/>
  <c r="P32" i="87"/>
  <c r="O32" i="87"/>
  <c r="N32" i="87"/>
  <c r="K32" i="87"/>
  <c r="J32" i="87"/>
  <c r="I32" i="87"/>
  <c r="H32" i="87"/>
  <c r="P31" i="87"/>
  <c r="O31" i="87"/>
  <c r="N31" i="87"/>
  <c r="K31" i="87"/>
  <c r="J31" i="87"/>
  <c r="I31" i="87"/>
  <c r="H31" i="87"/>
  <c r="P30" i="87"/>
  <c r="O30" i="87"/>
  <c r="N30" i="87"/>
  <c r="K30" i="87"/>
  <c r="J30" i="87"/>
  <c r="I30" i="87"/>
  <c r="H30" i="87"/>
  <c r="P29" i="87"/>
  <c r="O29" i="87"/>
  <c r="N29" i="87"/>
  <c r="K29" i="87"/>
  <c r="J29" i="87"/>
  <c r="I29" i="87"/>
  <c r="H29" i="87"/>
  <c r="P28" i="87"/>
  <c r="O28" i="87"/>
  <c r="N28" i="87"/>
  <c r="K28" i="87"/>
  <c r="J28" i="87"/>
  <c r="I28" i="87"/>
  <c r="H28" i="87"/>
  <c r="P27" i="87"/>
  <c r="O27" i="87"/>
  <c r="N27" i="87"/>
  <c r="K27" i="87"/>
  <c r="J27" i="87"/>
  <c r="I27" i="87"/>
  <c r="H27" i="87"/>
  <c r="P26" i="87"/>
  <c r="O26" i="87"/>
  <c r="N26" i="87"/>
  <c r="K26" i="87"/>
  <c r="J26" i="87"/>
  <c r="I26" i="87"/>
  <c r="H26" i="87"/>
  <c r="P25" i="87"/>
  <c r="O25" i="87"/>
  <c r="N25" i="87"/>
  <c r="K25" i="87"/>
  <c r="J25" i="87"/>
  <c r="I25" i="87"/>
  <c r="H25" i="87"/>
  <c r="P24" i="87"/>
  <c r="O24" i="87"/>
  <c r="N24" i="87"/>
  <c r="K24" i="87"/>
  <c r="J24" i="87"/>
  <c r="I24" i="87"/>
  <c r="H24" i="87"/>
  <c r="P23" i="87"/>
  <c r="O23" i="87"/>
  <c r="N23" i="87"/>
  <c r="K23" i="87"/>
  <c r="J23" i="87"/>
  <c r="I23" i="87"/>
  <c r="H23" i="87"/>
  <c r="P22" i="87"/>
  <c r="O22" i="87"/>
  <c r="N22" i="87"/>
  <c r="K22" i="87"/>
  <c r="J22" i="87"/>
  <c r="I22" i="87"/>
  <c r="H22" i="87"/>
  <c r="P21" i="87"/>
  <c r="O21" i="87"/>
  <c r="N21" i="87"/>
  <c r="K21" i="87"/>
  <c r="J21" i="87"/>
  <c r="I21" i="87"/>
  <c r="H21" i="87"/>
  <c r="P20" i="87"/>
  <c r="O20" i="87"/>
  <c r="N20" i="87"/>
  <c r="K20" i="87"/>
  <c r="J20" i="87"/>
  <c r="I20" i="87"/>
  <c r="H20" i="87"/>
  <c r="P19" i="87"/>
  <c r="O19" i="87"/>
  <c r="N19" i="87"/>
  <c r="K19" i="87"/>
  <c r="J19" i="87"/>
  <c r="I19" i="87"/>
  <c r="H19" i="87"/>
  <c r="P18" i="87"/>
  <c r="O18" i="87"/>
  <c r="N18" i="87"/>
  <c r="K18" i="87"/>
  <c r="J18" i="87"/>
  <c r="I18" i="87"/>
  <c r="H18" i="87"/>
  <c r="P17" i="87"/>
  <c r="O17" i="87"/>
  <c r="N17" i="87"/>
  <c r="K17" i="87"/>
  <c r="J17" i="87"/>
  <c r="I17" i="87"/>
  <c r="H17" i="87"/>
  <c r="P16" i="87"/>
  <c r="O16" i="87"/>
  <c r="N16" i="87"/>
  <c r="K16" i="87"/>
  <c r="J16" i="87"/>
  <c r="I16" i="87"/>
  <c r="H16" i="87"/>
  <c r="O15" i="87"/>
  <c r="K15" i="87"/>
  <c r="J15" i="87"/>
  <c r="O14" i="87"/>
  <c r="K14" i="87"/>
  <c r="J14" i="87"/>
  <c r="O13" i="87"/>
  <c r="K13" i="87"/>
  <c r="J13" i="87"/>
  <c r="O12" i="87"/>
  <c r="K12" i="87"/>
  <c r="J12" i="87"/>
  <c r="O11" i="87"/>
  <c r="K11" i="87"/>
  <c r="J11" i="87"/>
  <c r="O10" i="87"/>
  <c r="K10" i="87"/>
  <c r="J10" i="87"/>
  <c r="O9" i="87"/>
  <c r="K9" i="87"/>
  <c r="J9" i="87"/>
  <c r="I9" i="87"/>
  <c r="R8" i="87"/>
  <c r="R9" i="87" s="1"/>
  <c r="Q8" i="87"/>
  <c r="Q9" i="87" s="1"/>
  <c r="O8" i="87"/>
  <c r="K8" i="87"/>
  <c r="J8" i="87"/>
  <c r="I8" i="87"/>
  <c r="F2" i="87"/>
  <c r="L2" i="87" s="1"/>
  <c r="P16" i="96" l="1"/>
  <c r="H16" i="96"/>
  <c r="I16" i="96" s="1"/>
  <c r="H77" i="96"/>
  <c r="I77" i="96" s="1"/>
  <c r="P77" i="96"/>
  <c r="P44" i="96"/>
  <c r="H44" i="96"/>
  <c r="I44" i="96" s="1"/>
  <c r="P12" i="96"/>
  <c r="H12" i="96"/>
  <c r="H11" i="96"/>
  <c r="I11" i="96" s="1"/>
  <c r="P9" i="96"/>
  <c r="H9" i="96"/>
  <c r="Q11" i="96"/>
  <c r="Q12" i="96" s="1"/>
  <c r="Q13" i="96" s="1"/>
  <c r="N10" i="96"/>
  <c r="Q11" i="93"/>
  <c r="Q42" i="93"/>
  <c r="Q43" i="93" s="1"/>
  <c r="Q44" i="93" s="1"/>
  <c r="Q45" i="93" s="1"/>
  <c r="Q46" i="93" s="1"/>
  <c r="R47" i="93"/>
  <c r="R48" i="93" s="1"/>
  <c r="R49" i="93" s="1"/>
  <c r="R50" i="93" s="1"/>
  <c r="R51" i="93" s="1"/>
  <c r="R52" i="93" s="1"/>
  <c r="R53" i="93" s="1"/>
  <c r="R54" i="93" s="1"/>
  <c r="R55" i="93" s="1"/>
  <c r="R56" i="93" s="1"/>
  <c r="R57" i="93" s="1"/>
  <c r="R58" i="93" s="1"/>
  <c r="R59" i="93" s="1"/>
  <c r="R60" i="93" s="1"/>
  <c r="R61" i="93" s="1"/>
  <c r="R62" i="93" s="1"/>
  <c r="R63" i="93" s="1"/>
  <c r="R64" i="93" s="1"/>
  <c r="R65" i="93" s="1"/>
  <c r="R66" i="93" s="1"/>
  <c r="R67" i="93" s="1"/>
  <c r="R68" i="93" s="1"/>
  <c r="R69" i="93" s="1"/>
  <c r="R70" i="93" s="1"/>
  <c r="R71" i="93" s="1"/>
  <c r="R72" i="93" s="1"/>
  <c r="R75" i="93"/>
  <c r="R76" i="93" s="1"/>
  <c r="R77" i="93" s="1"/>
  <c r="R78" i="93" s="1"/>
  <c r="R79" i="93" s="1"/>
  <c r="R80" i="93" s="1"/>
  <c r="R81" i="93" s="1"/>
  <c r="R82" i="93" s="1"/>
  <c r="R83" i="93" s="1"/>
  <c r="R84" i="93" s="1"/>
  <c r="R85" i="93" s="1"/>
  <c r="R86" i="93" s="1"/>
  <c r="R87" i="93" s="1"/>
  <c r="R88" i="93" s="1"/>
  <c r="R89" i="93" s="1"/>
  <c r="R90" i="93" s="1"/>
  <c r="R91" i="93" s="1"/>
  <c r="R92" i="93" s="1"/>
  <c r="R93" i="93" s="1"/>
  <c r="R94" i="93" s="1"/>
  <c r="R95" i="93" s="1"/>
  <c r="R96" i="93" s="1"/>
  <c r="R97" i="93" s="1"/>
  <c r="R98" i="93" s="1"/>
  <c r="R99" i="93" s="1"/>
  <c r="R100" i="93" s="1"/>
  <c r="R108" i="93"/>
  <c r="P77" i="93"/>
  <c r="H77" i="93"/>
  <c r="I77" i="93" s="1"/>
  <c r="H10" i="93"/>
  <c r="P10" i="93"/>
  <c r="L41" i="93" s="1"/>
  <c r="H8" i="93"/>
  <c r="P8" i="93"/>
  <c r="P9" i="93"/>
  <c r="H9" i="93"/>
  <c r="R10" i="87"/>
  <c r="R42" i="87"/>
  <c r="R43" i="87" s="1"/>
  <c r="R44" i="87" s="1"/>
  <c r="Q10" i="87"/>
  <c r="Q42" i="87"/>
  <c r="Q43" i="87" s="1"/>
  <c r="N9" i="87"/>
  <c r="N8" i="87"/>
  <c r="N22" i="2"/>
  <c r="N23" i="2"/>
  <c r="N24" i="2"/>
  <c r="F2" i="1"/>
  <c r="R8" i="1"/>
  <c r="Q8" i="1"/>
  <c r="Q14" i="96" l="1"/>
  <c r="N13" i="96"/>
  <c r="H10" i="96"/>
  <c r="P10" i="96"/>
  <c r="N46" i="93"/>
  <c r="N43" i="93"/>
  <c r="N45" i="93"/>
  <c r="N44" i="93"/>
  <c r="N47" i="93"/>
  <c r="Q47" i="93"/>
  <c r="Q48" i="93" s="1"/>
  <c r="Q49" i="93" s="1"/>
  <c r="Q50" i="93" s="1"/>
  <c r="Q51" i="93" s="1"/>
  <c r="Q52" i="93" s="1"/>
  <c r="Q53" i="93" s="1"/>
  <c r="Q54" i="93" s="1"/>
  <c r="Q55" i="93" s="1"/>
  <c r="Q56" i="93" s="1"/>
  <c r="Q57" i="93" s="1"/>
  <c r="Q58" i="93" s="1"/>
  <c r="Q59" i="93" s="1"/>
  <c r="Q60" i="93" s="1"/>
  <c r="Q61" i="93" s="1"/>
  <c r="Q62" i="93" s="1"/>
  <c r="Q63" i="93" s="1"/>
  <c r="Q64" i="93" s="1"/>
  <c r="Q65" i="93" s="1"/>
  <c r="Q66" i="93" s="1"/>
  <c r="Q67" i="93" s="1"/>
  <c r="Q68" i="93" s="1"/>
  <c r="Q69" i="93" s="1"/>
  <c r="Q70" i="93" s="1"/>
  <c r="Q71" i="93" s="1"/>
  <c r="Q72" i="93" s="1"/>
  <c r="Q75" i="93"/>
  <c r="Q76" i="93" s="1"/>
  <c r="Q77" i="93" s="1"/>
  <c r="Q78" i="93" s="1"/>
  <c r="Q79" i="93" s="1"/>
  <c r="Q80" i="93" s="1"/>
  <c r="Q81" i="93" s="1"/>
  <c r="Q82" i="93" s="1"/>
  <c r="Q83" i="93" s="1"/>
  <c r="Q84" i="93" s="1"/>
  <c r="Q85" i="93" s="1"/>
  <c r="Q86" i="93" s="1"/>
  <c r="Q87" i="93" s="1"/>
  <c r="Q88" i="93" s="1"/>
  <c r="Q89" i="93" s="1"/>
  <c r="Q90" i="93" s="1"/>
  <c r="Q91" i="93" s="1"/>
  <c r="Q92" i="93" s="1"/>
  <c r="Q93" i="93" s="1"/>
  <c r="Q94" i="93" s="1"/>
  <c r="Q95" i="93" s="1"/>
  <c r="Q96" i="93" s="1"/>
  <c r="Q97" i="93" s="1"/>
  <c r="Q98" i="93" s="1"/>
  <c r="Q99" i="93" s="1"/>
  <c r="Q100" i="93" s="1"/>
  <c r="Q12" i="93"/>
  <c r="N11" i="93"/>
  <c r="R109" i="93"/>
  <c r="R45" i="87"/>
  <c r="R46" i="87" s="1"/>
  <c r="R76" i="87"/>
  <c r="R77" i="87" s="1"/>
  <c r="R78" i="87" s="1"/>
  <c r="R79" i="87" s="1"/>
  <c r="R80" i="87" s="1"/>
  <c r="R81" i="87" s="1"/>
  <c r="R82" i="87" s="1"/>
  <c r="R83" i="87" s="1"/>
  <c r="R84" i="87" s="1"/>
  <c r="R85" i="87" s="1"/>
  <c r="R86" i="87" s="1"/>
  <c r="R87" i="87" s="1"/>
  <c r="R88" i="87" s="1"/>
  <c r="R89" i="87" s="1"/>
  <c r="R90" i="87" s="1"/>
  <c r="R91" i="87" s="1"/>
  <c r="R92" i="87" s="1"/>
  <c r="R93" i="87" s="1"/>
  <c r="R94" i="87" s="1"/>
  <c r="R95" i="87" s="1"/>
  <c r="R96" i="87" s="1"/>
  <c r="R97" i="87" s="1"/>
  <c r="R98" i="87" s="1"/>
  <c r="R99" i="87" s="1"/>
  <c r="R100" i="87" s="1"/>
  <c r="R101" i="87" s="1"/>
  <c r="R102" i="87" s="1"/>
  <c r="R103" i="87" s="1"/>
  <c r="R104" i="87" s="1"/>
  <c r="R105" i="87" s="1"/>
  <c r="Q11" i="87"/>
  <c r="Q12" i="87" s="1"/>
  <c r="Q108" i="87"/>
  <c r="Q109" i="87" s="1"/>
  <c r="Q110" i="87" s="1"/>
  <c r="Q111" i="87" s="1"/>
  <c r="Q112" i="87" s="1"/>
  <c r="Q113" i="87" s="1"/>
  <c r="Q114" i="87" s="1"/>
  <c r="Q115" i="87" s="1"/>
  <c r="Q116" i="87" s="1"/>
  <c r="Q117" i="87" s="1"/>
  <c r="Q118" i="87" s="1"/>
  <c r="Q119" i="87" s="1"/>
  <c r="Q120" i="87" s="1"/>
  <c r="Q121" i="87" s="1"/>
  <c r="Q122" i="87" s="1"/>
  <c r="Q123" i="87" s="1"/>
  <c r="Q124" i="87" s="1"/>
  <c r="R11" i="87"/>
  <c r="R12" i="87" s="1"/>
  <c r="R13" i="87" s="1"/>
  <c r="R127" i="87" s="1"/>
  <c r="R128" i="87" s="1"/>
  <c r="R129" i="87" s="1"/>
  <c r="R130" i="87" s="1"/>
  <c r="R131" i="87" s="1"/>
  <c r="R132" i="87" s="1"/>
  <c r="R133" i="87" s="1"/>
  <c r="R134" i="87" s="1"/>
  <c r="R135" i="87" s="1"/>
  <c r="R136" i="87" s="1"/>
  <c r="R137" i="87" s="1"/>
  <c r="R108" i="87"/>
  <c r="R109" i="87" s="1"/>
  <c r="R110" i="87" s="1"/>
  <c r="R111" i="87" s="1"/>
  <c r="R112" i="87" s="1"/>
  <c r="R113" i="87" s="1"/>
  <c r="R114" i="87" s="1"/>
  <c r="R115" i="87" s="1"/>
  <c r="R116" i="87" s="1"/>
  <c r="R117" i="87" s="1"/>
  <c r="R118" i="87" s="1"/>
  <c r="R119" i="87" s="1"/>
  <c r="R120" i="87" s="1"/>
  <c r="R121" i="87" s="1"/>
  <c r="R122" i="87" s="1"/>
  <c r="R123" i="87" s="1"/>
  <c r="R124" i="87" s="1"/>
  <c r="Q13" i="87"/>
  <c r="Q14" i="87" s="1"/>
  <c r="Q15" i="87" s="1"/>
  <c r="N10" i="87"/>
  <c r="H10" i="87" s="1"/>
  <c r="I10" i="87" s="1"/>
  <c r="Q44" i="87"/>
  <c r="Q76" i="87" s="1"/>
  <c r="Q77" i="87" s="1"/>
  <c r="Q78" i="87" s="1"/>
  <c r="Q79" i="87" s="1"/>
  <c r="Q80" i="87" s="1"/>
  <c r="Q81" i="87" s="1"/>
  <c r="Q82" i="87" s="1"/>
  <c r="Q83" i="87" s="1"/>
  <c r="Q84" i="87" s="1"/>
  <c r="Q85" i="87" s="1"/>
  <c r="Q86" i="87" s="1"/>
  <c r="Q87" i="87" s="1"/>
  <c r="Q88" i="87" s="1"/>
  <c r="Q89" i="87" s="1"/>
  <c r="Q90" i="87" s="1"/>
  <c r="Q91" i="87" s="1"/>
  <c r="Q92" i="87" s="1"/>
  <c r="Q93" i="87" s="1"/>
  <c r="Q94" i="87" s="1"/>
  <c r="Q95" i="87" s="1"/>
  <c r="Q96" i="87" s="1"/>
  <c r="Q97" i="87" s="1"/>
  <c r="Q98" i="87" s="1"/>
  <c r="Q99" i="87" s="1"/>
  <c r="Q100" i="87" s="1"/>
  <c r="Q101" i="87" s="1"/>
  <c r="Q102" i="87" s="1"/>
  <c r="Q103" i="87" s="1"/>
  <c r="Q104" i="87" s="1"/>
  <c r="Q105" i="87" s="1"/>
  <c r="P9" i="87"/>
  <c r="L41" i="87" s="1"/>
  <c r="N43" i="87" s="1"/>
  <c r="H9" i="87"/>
  <c r="H8" i="87"/>
  <c r="P8" i="87"/>
  <c r="Q9" i="1"/>
  <c r="R9"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8" i="1"/>
  <c r="M10" i="2"/>
  <c r="M8" i="2"/>
  <c r="M6" i="2"/>
  <c r="H13" i="96" l="1"/>
  <c r="I13" i="96" s="1"/>
  <c r="P13" i="96"/>
  <c r="Q15" i="96"/>
  <c r="Q16" i="96" s="1"/>
  <c r="Q17" i="96" s="1"/>
  <c r="Q18" i="96" s="1"/>
  <c r="Q19" i="96" s="1"/>
  <c r="Q20" i="96" s="1"/>
  <c r="Q21" i="96" s="1"/>
  <c r="Q22" i="96" s="1"/>
  <c r="Q23" i="96" s="1"/>
  <c r="Q24" i="96" s="1"/>
  <c r="Q25" i="96" s="1"/>
  <c r="Q26" i="96" s="1"/>
  <c r="Q27" i="96" s="1"/>
  <c r="Q28" i="96" s="1"/>
  <c r="Q29" i="96" s="1"/>
  <c r="Q30" i="96" s="1"/>
  <c r="Q31" i="96" s="1"/>
  <c r="Q32" i="96" s="1"/>
  <c r="Q33" i="96" s="1"/>
  <c r="Q34" i="96" s="1"/>
  <c r="Q35" i="96" s="1"/>
  <c r="Q36" i="96" s="1"/>
  <c r="Q37" i="96" s="1"/>
  <c r="Q38" i="96" s="1"/>
  <c r="Q39" i="96" s="1"/>
  <c r="N14" i="96"/>
  <c r="H11" i="93"/>
  <c r="I11" i="93" s="1"/>
  <c r="P11" i="93"/>
  <c r="Q13" i="93"/>
  <c r="N12" i="93"/>
  <c r="P47" i="93"/>
  <c r="H47" i="93"/>
  <c r="I47" i="93" s="1"/>
  <c r="H44" i="93"/>
  <c r="I44" i="93" s="1"/>
  <c r="P44" i="93"/>
  <c r="P45" i="93"/>
  <c r="H45" i="93"/>
  <c r="I45" i="93" s="1"/>
  <c r="P43" i="93"/>
  <c r="H43" i="93"/>
  <c r="I43" i="93" s="1"/>
  <c r="P46" i="93"/>
  <c r="L74" i="93" s="1"/>
  <c r="N76" i="93" s="1"/>
  <c r="H46" i="93"/>
  <c r="R110" i="93"/>
  <c r="R111" i="93" s="1"/>
  <c r="R112" i="93" s="1"/>
  <c r="R113" i="93" s="1"/>
  <c r="R114" i="93" s="1"/>
  <c r="R115" i="93" s="1"/>
  <c r="R116" i="93" s="1"/>
  <c r="R117" i="93" s="1"/>
  <c r="R118" i="93" s="1"/>
  <c r="R119" i="93" s="1"/>
  <c r="R120" i="93" s="1"/>
  <c r="R121" i="93" s="1"/>
  <c r="R122" i="93" s="1"/>
  <c r="R123" i="93" s="1"/>
  <c r="R124" i="93" s="1"/>
  <c r="N11" i="87"/>
  <c r="N12" i="87"/>
  <c r="P12" i="87" s="1"/>
  <c r="P10" i="87"/>
  <c r="L107" i="87" s="1"/>
  <c r="Q16" i="87"/>
  <c r="Q17" i="87" s="1"/>
  <c r="Q18" i="87" s="1"/>
  <c r="Q19" i="87" s="1"/>
  <c r="Q20" i="87" s="1"/>
  <c r="Q21" i="87" s="1"/>
  <c r="Q22" i="87" s="1"/>
  <c r="Q23" i="87" s="1"/>
  <c r="Q24" i="87" s="1"/>
  <c r="Q25" i="87" s="1"/>
  <c r="Q26" i="87" s="1"/>
  <c r="Q27" i="87" s="1"/>
  <c r="Q28" i="87" s="1"/>
  <c r="Q29" i="87" s="1"/>
  <c r="Q30" i="87" s="1"/>
  <c r="Q31" i="87" s="1"/>
  <c r="Q32" i="87" s="1"/>
  <c r="Q33" i="87" s="1"/>
  <c r="Q34" i="87" s="1"/>
  <c r="Q35" i="87" s="1"/>
  <c r="Q36" i="87" s="1"/>
  <c r="Q37" i="87" s="1"/>
  <c r="Q38" i="87" s="1"/>
  <c r="Q39" i="87" s="1"/>
  <c r="R14" i="87"/>
  <c r="N13" i="87"/>
  <c r="H12" i="87"/>
  <c r="I12" i="87" s="1"/>
  <c r="R47" i="87"/>
  <c r="P43" i="87"/>
  <c r="H43" i="87"/>
  <c r="I43" i="87" s="1"/>
  <c r="Q45" i="87"/>
  <c r="N44" i="87"/>
  <c r="Q10" i="1"/>
  <c r="R10" i="1"/>
  <c r="P14" i="96" l="1"/>
  <c r="H14" i="96"/>
  <c r="I14" i="96" s="1"/>
  <c r="P12" i="93"/>
  <c r="H12" i="93"/>
  <c r="I12" i="93" s="1"/>
  <c r="Q14" i="93"/>
  <c r="Q103" i="93"/>
  <c r="Q104" i="93" s="1"/>
  <c r="Q105" i="93" s="1"/>
  <c r="Q106" i="93" s="1"/>
  <c r="Q107" i="93" s="1"/>
  <c r="Q108" i="93" s="1"/>
  <c r="Q109" i="93" s="1"/>
  <c r="Q110" i="93" s="1"/>
  <c r="Q111" i="93" s="1"/>
  <c r="Q112" i="93" s="1"/>
  <c r="Q113" i="93" s="1"/>
  <c r="Q114" i="93" s="1"/>
  <c r="Q115" i="93" s="1"/>
  <c r="Q116" i="93" s="1"/>
  <c r="Q117" i="93" s="1"/>
  <c r="Q118" i="93" s="1"/>
  <c r="Q119" i="93" s="1"/>
  <c r="Q120" i="93" s="1"/>
  <c r="Q121" i="93" s="1"/>
  <c r="Q122" i="93" s="1"/>
  <c r="Q123" i="93" s="1"/>
  <c r="Q124" i="93" s="1"/>
  <c r="N13" i="93"/>
  <c r="P76" i="93"/>
  <c r="H76" i="93"/>
  <c r="I76" i="93" s="1"/>
  <c r="H11" i="87"/>
  <c r="I11" i="87" s="1"/>
  <c r="P11" i="87"/>
  <c r="Q46" i="87"/>
  <c r="N45" i="87"/>
  <c r="N122" i="87"/>
  <c r="N109" i="87"/>
  <c r="N110" i="87"/>
  <c r="N111" i="87"/>
  <c r="R15" i="87"/>
  <c r="N14" i="87"/>
  <c r="P13" i="87"/>
  <c r="L126" i="87" s="1"/>
  <c r="N128" i="87" s="1"/>
  <c r="H13" i="87"/>
  <c r="I13" i="87" s="1"/>
  <c r="R48" i="87"/>
  <c r="P44" i="87"/>
  <c r="L75" i="87" s="1"/>
  <c r="H44" i="87"/>
  <c r="I44" i="87" s="1"/>
  <c r="Q11" i="1"/>
  <c r="R11" i="1"/>
  <c r="K16" i="1"/>
  <c r="K17" i="1"/>
  <c r="K18" i="1"/>
  <c r="K19" i="1"/>
  <c r="K20" i="1"/>
  <c r="K21" i="1"/>
  <c r="K22" i="1"/>
  <c r="K23" i="1"/>
  <c r="K24" i="1"/>
  <c r="K25" i="1"/>
  <c r="K26" i="1"/>
  <c r="K27" i="1"/>
  <c r="K28" i="1"/>
  <c r="K29" i="1"/>
  <c r="K30" i="1"/>
  <c r="K31" i="1"/>
  <c r="K32" i="1"/>
  <c r="K33" i="1"/>
  <c r="K34" i="1"/>
  <c r="K35" i="1"/>
  <c r="K36" i="1"/>
  <c r="K37" i="1"/>
  <c r="K38" i="1"/>
  <c r="K39" i="1"/>
  <c r="J16" i="1"/>
  <c r="J17" i="1"/>
  <c r="J18" i="1"/>
  <c r="J19" i="1"/>
  <c r="J20" i="1"/>
  <c r="J21" i="1"/>
  <c r="J22" i="1"/>
  <c r="J23" i="1"/>
  <c r="J24" i="1"/>
  <c r="J25" i="1"/>
  <c r="J26" i="1"/>
  <c r="J27" i="1"/>
  <c r="J28" i="1"/>
  <c r="J29" i="1"/>
  <c r="J30" i="1"/>
  <c r="J31" i="1"/>
  <c r="J32" i="1"/>
  <c r="J33" i="1"/>
  <c r="J34" i="1"/>
  <c r="J35" i="1"/>
  <c r="J36" i="1"/>
  <c r="J37" i="1"/>
  <c r="J38" i="1"/>
  <c r="J39" i="1"/>
  <c r="A6" i="2"/>
  <c r="A8" i="2"/>
  <c r="A10" i="2"/>
  <c r="A4" i="2"/>
  <c r="K10" i="1" s="1"/>
  <c r="Q15" i="93" l="1"/>
  <c r="N14" i="93"/>
  <c r="H13" i="93"/>
  <c r="I13" i="93" s="1"/>
  <c r="P13" i="93"/>
  <c r="L102" i="93" s="1"/>
  <c r="P128" i="87"/>
  <c r="H128" i="87"/>
  <c r="I128" i="87" s="1"/>
  <c r="N79" i="87"/>
  <c r="N78" i="87"/>
  <c r="N80" i="87"/>
  <c r="N77" i="87"/>
  <c r="P111" i="87"/>
  <c r="H111" i="87"/>
  <c r="I111" i="87" s="1"/>
  <c r="H110" i="87"/>
  <c r="P110" i="87"/>
  <c r="H109" i="87"/>
  <c r="P109" i="87"/>
  <c r="P122" i="87"/>
  <c r="H122" i="87"/>
  <c r="I122" i="87" s="1"/>
  <c r="P45" i="87"/>
  <c r="H45" i="87"/>
  <c r="I45" i="87" s="1"/>
  <c r="Q47" i="87"/>
  <c r="N46" i="87"/>
  <c r="R16" i="87"/>
  <c r="R17" i="87" s="1"/>
  <c r="R18" i="87" s="1"/>
  <c r="R19" i="87" s="1"/>
  <c r="R20" i="87" s="1"/>
  <c r="R21" i="87" s="1"/>
  <c r="R22" i="87" s="1"/>
  <c r="R23" i="87" s="1"/>
  <c r="R24" i="87" s="1"/>
  <c r="R25" i="87" s="1"/>
  <c r="R26" i="87" s="1"/>
  <c r="R27" i="87" s="1"/>
  <c r="R28" i="87" s="1"/>
  <c r="R29" i="87" s="1"/>
  <c r="R30" i="87" s="1"/>
  <c r="R31" i="87" s="1"/>
  <c r="R32" i="87" s="1"/>
  <c r="R33" i="87" s="1"/>
  <c r="R34" i="87" s="1"/>
  <c r="R35" i="87" s="1"/>
  <c r="R36" i="87" s="1"/>
  <c r="R37" i="87" s="1"/>
  <c r="R38" i="87" s="1"/>
  <c r="R39" i="87" s="1"/>
  <c r="N15" i="87"/>
  <c r="H14" i="87"/>
  <c r="I14" i="87" s="1"/>
  <c r="P14" i="87"/>
  <c r="R49" i="87"/>
  <c r="Q12" i="1"/>
  <c r="Q13" i="1" s="1"/>
  <c r="R12" i="1"/>
  <c r="R13" i="1" s="1"/>
  <c r="J15" i="1"/>
  <c r="J14" i="1"/>
  <c r="J13" i="1"/>
  <c r="J12" i="1"/>
  <c r="J11" i="1"/>
  <c r="J10" i="1"/>
  <c r="K15" i="1"/>
  <c r="K14" i="1"/>
  <c r="K13" i="1"/>
  <c r="K12" i="1"/>
  <c r="K11" i="1"/>
  <c r="K8" i="1"/>
  <c r="K9" i="1"/>
  <c r="J9" i="1"/>
  <c r="J8" i="1"/>
  <c r="N104" i="93" l="1"/>
  <c r="N105" i="93"/>
  <c r="N107" i="93"/>
  <c r="N106" i="93"/>
  <c r="N108" i="93"/>
  <c r="N109" i="93"/>
  <c r="H14" i="93"/>
  <c r="I14" i="93" s="1"/>
  <c r="P14" i="93"/>
  <c r="Q16" i="93"/>
  <c r="N15" i="93"/>
  <c r="H46" i="87"/>
  <c r="P46" i="87"/>
  <c r="P80" i="87"/>
  <c r="H80" i="87"/>
  <c r="I80" i="87" s="1"/>
  <c r="P78" i="87"/>
  <c r="H78" i="87"/>
  <c r="I78" i="87" s="1"/>
  <c r="Q48" i="87"/>
  <c r="N47" i="87"/>
  <c r="H77" i="87"/>
  <c r="I77" i="87" s="1"/>
  <c r="P77" i="87"/>
  <c r="H79" i="87"/>
  <c r="I79" i="87" s="1"/>
  <c r="P79" i="87"/>
  <c r="P15" i="87"/>
  <c r="H15" i="87"/>
  <c r="I15" i="87" s="1"/>
  <c r="R50" i="87"/>
  <c r="R51" i="87" s="1"/>
  <c r="R52" i="87" s="1"/>
  <c r="R53" i="87" s="1"/>
  <c r="R54" i="87" s="1"/>
  <c r="R55" i="87" s="1"/>
  <c r="R56" i="87" s="1"/>
  <c r="R57" i="87" s="1"/>
  <c r="R58" i="87" s="1"/>
  <c r="R59" i="87" s="1"/>
  <c r="R60" i="87" s="1"/>
  <c r="R61" i="87" s="1"/>
  <c r="R62" i="87" s="1"/>
  <c r="R63" i="87" s="1"/>
  <c r="R64" i="87" s="1"/>
  <c r="R65" i="87" s="1"/>
  <c r="R66" i="87" s="1"/>
  <c r="R67" i="87" s="1"/>
  <c r="R68" i="87" s="1"/>
  <c r="R69" i="87" s="1"/>
  <c r="R70" i="87" s="1"/>
  <c r="R71" i="87" s="1"/>
  <c r="R72" i="87" s="1"/>
  <c r="R73" i="87" s="1"/>
  <c r="R14" i="1"/>
  <c r="Q14" i="1"/>
  <c r="L10" i="2"/>
  <c r="K10" i="2"/>
  <c r="L8" i="2"/>
  <c r="K8" i="2"/>
  <c r="K6" i="2"/>
  <c r="L6" i="2"/>
  <c r="F2" i="2"/>
  <c r="E2" i="2"/>
  <c r="M4" i="2"/>
  <c r="H15" i="93" l="1"/>
  <c r="I15" i="93" s="1"/>
  <c r="P15" i="93"/>
  <c r="Q17" i="93"/>
  <c r="Q18" i="93" s="1"/>
  <c r="Q19" i="93" s="1"/>
  <c r="Q20" i="93" s="1"/>
  <c r="Q21" i="93" s="1"/>
  <c r="Q22" i="93" s="1"/>
  <c r="Q23" i="93" s="1"/>
  <c r="Q24" i="93" s="1"/>
  <c r="Q25" i="93" s="1"/>
  <c r="Q26" i="93" s="1"/>
  <c r="Q27" i="93" s="1"/>
  <c r="Q28" i="93" s="1"/>
  <c r="Q29" i="93" s="1"/>
  <c r="Q30" i="93" s="1"/>
  <c r="Q31" i="93" s="1"/>
  <c r="Q32" i="93" s="1"/>
  <c r="Q33" i="93" s="1"/>
  <c r="Q34" i="93" s="1"/>
  <c r="Q35" i="93" s="1"/>
  <c r="Q36" i="93" s="1"/>
  <c r="Q37" i="93" s="1"/>
  <c r="Q38" i="93" s="1"/>
  <c r="Q39" i="93" s="1"/>
  <c r="N16" i="93"/>
  <c r="H109" i="93"/>
  <c r="I109" i="93" s="1"/>
  <c r="P109" i="93"/>
  <c r="H108" i="93"/>
  <c r="I108" i="93" s="1"/>
  <c r="P108" i="93"/>
  <c r="P106" i="93"/>
  <c r="H106" i="93"/>
  <c r="I106" i="93" s="1"/>
  <c r="H107" i="93"/>
  <c r="P107" i="93"/>
  <c r="H105" i="93"/>
  <c r="I105" i="93" s="1"/>
  <c r="P105" i="93"/>
  <c r="P104" i="93"/>
  <c r="H104" i="93"/>
  <c r="I104" i="93" s="1"/>
  <c r="H47" i="87"/>
  <c r="I47" i="87" s="1"/>
  <c r="P47" i="87"/>
  <c r="Q49" i="87"/>
  <c r="N48" i="87"/>
  <c r="Q15" i="1"/>
  <c r="Q16" i="1" s="1"/>
  <c r="Q17" i="1" s="1"/>
  <c r="Q18" i="1" s="1"/>
  <c r="Q19" i="1" s="1"/>
  <c r="Q20" i="1" s="1"/>
  <c r="R15" i="1"/>
  <c r="R16" i="1" s="1"/>
  <c r="R17" i="1" s="1"/>
  <c r="R18" i="1" s="1"/>
  <c r="R19" i="1" s="1"/>
  <c r="R20" i="1" s="1"/>
  <c r="R21" i="1" s="1"/>
  <c r="R22" i="1" s="1"/>
  <c r="F10" i="2"/>
  <c r="F6" i="2"/>
  <c r="F8" i="2"/>
  <c r="P16" i="93" l="1"/>
  <c r="H16" i="93"/>
  <c r="I16" i="93" s="1"/>
  <c r="Q50" i="87"/>
  <c r="Q51" i="87" s="1"/>
  <c r="Q52" i="87" s="1"/>
  <c r="Q53" i="87" s="1"/>
  <c r="Q54" i="87" s="1"/>
  <c r="Q55" i="87" s="1"/>
  <c r="Q56" i="87" s="1"/>
  <c r="Q57" i="87" s="1"/>
  <c r="Q58" i="87" s="1"/>
  <c r="Q59" i="87" s="1"/>
  <c r="Q60" i="87" s="1"/>
  <c r="Q61" i="87" s="1"/>
  <c r="Q62" i="87" s="1"/>
  <c r="Q63" i="87" s="1"/>
  <c r="Q64" i="87" s="1"/>
  <c r="Q65" i="87" s="1"/>
  <c r="Q66" i="87" s="1"/>
  <c r="Q67" i="87" s="1"/>
  <c r="Q68" i="87" s="1"/>
  <c r="Q69" i="87" s="1"/>
  <c r="Q70" i="87" s="1"/>
  <c r="Q71" i="87" s="1"/>
  <c r="Q72" i="87" s="1"/>
  <c r="Q73" i="87" s="1"/>
  <c r="N49" i="87"/>
  <c r="H48" i="87"/>
  <c r="I48" i="87" s="1"/>
  <c r="P48" i="87"/>
  <c r="R23" i="1"/>
  <c r="R24" i="1" s="1"/>
  <c r="R42" i="1"/>
  <c r="R43" i="1" s="1"/>
  <c r="R44" i="1" s="1"/>
  <c r="R45" i="1" s="1"/>
  <c r="R46" i="1" s="1"/>
  <c r="R47" i="1" s="1"/>
  <c r="R48" i="1" s="1"/>
  <c r="R49" i="1" s="1"/>
  <c r="R50" i="1" s="1"/>
  <c r="R51" i="1" s="1"/>
  <c r="R52" i="1" s="1"/>
  <c r="R53" i="1" s="1"/>
  <c r="R54" i="1" s="1"/>
  <c r="R55" i="1" s="1"/>
  <c r="R56" i="1" s="1"/>
  <c r="R57" i="1" s="1"/>
  <c r="R58" i="1" s="1"/>
  <c r="R59" i="1" s="1"/>
  <c r="R60" i="1" s="1"/>
  <c r="Q21" i="1"/>
  <c r="L2" i="1"/>
  <c r="H49" i="87" l="1"/>
  <c r="I49" i="87" s="1"/>
  <c r="P49" i="87"/>
  <c r="R25" i="1"/>
  <c r="R26" i="1" s="1"/>
  <c r="R27" i="1" s="1"/>
  <c r="R28" i="1" s="1"/>
  <c r="R29" i="1" s="1"/>
  <c r="R30" i="1" s="1"/>
  <c r="R31" i="1" s="1"/>
  <c r="R32" i="1" s="1"/>
  <c r="R33" i="1" s="1"/>
  <c r="R34" i="1" s="1"/>
  <c r="R35" i="1" s="1"/>
  <c r="R36" i="1" s="1"/>
  <c r="R37" i="1" s="1"/>
  <c r="R38" i="1" s="1"/>
  <c r="R39" i="1" s="1"/>
  <c r="R63" i="1"/>
  <c r="R64" i="1" s="1"/>
  <c r="R65" i="1" s="1"/>
  <c r="R66" i="1" s="1"/>
  <c r="R67" i="1" s="1"/>
  <c r="R68" i="1" s="1"/>
  <c r="R69" i="1" s="1"/>
  <c r="R70" i="1" s="1"/>
  <c r="R71" i="1" s="1"/>
  <c r="R72" i="1" s="1"/>
  <c r="R73" i="1" s="1"/>
  <c r="R74" i="1" s="1"/>
  <c r="R75" i="1" s="1"/>
  <c r="R76" i="1" s="1"/>
  <c r="N18" i="1"/>
  <c r="N19" i="1"/>
  <c r="N20" i="1"/>
  <c r="P20" i="1" s="1"/>
  <c r="Q22" i="1"/>
  <c r="Q42" i="1" s="1"/>
  <c r="Q43" i="1" s="1"/>
  <c r="Q44" i="1" s="1"/>
  <c r="Q45" i="1" s="1"/>
  <c r="Q46" i="1" s="1"/>
  <c r="Q47" i="1" s="1"/>
  <c r="Q48" i="1" s="1"/>
  <c r="Q49" i="1" s="1"/>
  <c r="Q50" i="1" s="1"/>
  <c r="Q51" i="1" s="1"/>
  <c r="Q52" i="1" s="1"/>
  <c r="Q53" i="1" s="1"/>
  <c r="Q54" i="1" s="1"/>
  <c r="Q55" i="1" s="1"/>
  <c r="Q56" i="1" s="1"/>
  <c r="Q57" i="1" s="1"/>
  <c r="Q58" i="1" s="1"/>
  <c r="Q59" i="1" s="1"/>
  <c r="Q60" i="1" s="1"/>
  <c r="N21" i="1"/>
  <c r="N17" i="1"/>
  <c r="N14" i="1"/>
  <c r="N15" i="1"/>
  <c r="N16" i="1"/>
  <c r="N11" i="1"/>
  <c r="N12" i="1"/>
  <c r="N13" i="1"/>
  <c r="N9" i="1"/>
  <c r="N10" i="1"/>
  <c r="N8" i="1"/>
  <c r="H20" i="1" l="1"/>
  <c r="I20" i="1" s="1"/>
  <c r="H19" i="1"/>
  <c r="I19" i="1" s="1"/>
  <c r="P19" i="1"/>
  <c r="H18" i="1"/>
  <c r="I18" i="1" s="1"/>
  <c r="P18" i="1"/>
  <c r="Q23" i="1"/>
  <c r="N22" i="1"/>
  <c r="P21" i="1"/>
  <c r="H21" i="1"/>
  <c r="I21" i="1" s="1"/>
  <c r="P13" i="1"/>
  <c r="H13" i="1"/>
  <c r="I13" i="1" s="1"/>
  <c r="P11" i="1"/>
  <c r="H11" i="1"/>
  <c r="I11" i="1" s="1"/>
  <c r="H16" i="1"/>
  <c r="I16" i="1" s="1"/>
  <c r="P16" i="1"/>
  <c r="P10" i="1"/>
  <c r="H10" i="1"/>
  <c r="I10" i="1" s="1"/>
  <c r="H15" i="1"/>
  <c r="I15" i="1" s="1"/>
  <c r="P15" i="1"/>
  <c r="P9" i="1"/>
  <c r="H9" i="1"/>
  <c r="I9" i="1" s="1"/>
  <c r="P14" i="1"/>
  <c r="H14" i="1"/>
  <c r="I14" i="1" s="1"/>
  <c r="H12" i="1"/>
  <c r="I12" i="1" s="1"/>
  <c r="P12" i="1"/>
  <c r="H17" i="1"/>
  <c r="I17" i="1" s="1"/>
  <c r="P17" i="1"/>
  <c r="P8" i="1"/>
  <c r="H8" i="1"/>
  <c r="I8" i="1" s="1"/>
  <c r="P22" i="1" l="1"/>
  <c r="L41" i="1" s="1"/>
  <c r="H22" i="1"/>
  <c r="I22" i="1" s="1"/>
  <c r="Q24" i="1"/>
  <c r="Q63" i="1" s="1"/>
  <c r="Q64" i="1" s="1"/>
  <c r="N23" i="1"/>
  <c r="Q65" i="1" l="1"/>
  <c r="Q66" i="1" s="1"/>
  <c r="Q67" i="1" s="1"/>
  <c r="Q68" i="1" s="1"/>
  <c r="Q69" i="1" s="1"/>
  <c r="Q70" i="1" s="1"/>
  <c r="Q71" i="1" s="1"/>
  <c r="Q72" i="1" s="1"/>
  <c r="Q73" i="1" s="1"/>
  <c r="Q74" i="1" s="1"/>
  <c r="Q75" i="1" s="1"/>
  <c r="Q76" i="1" s="1"/>
  <c r="N58" i="1"/>
  <c r="N43" i="1"/>
  <c r="P23" i="1"/>
  <c r="H23" i="1"/>
  <c r="I23" i="1" s="1"/>
  <c r="Q25" i="1"/>
  <c r="N24" i="1"/>
  <c r="P43" i="1" l="1"/>
  <c r="H43" i="1"/>
  <c r="I43" i="1" s="1"/>
  <c r="P58" i="1"/>
  <c r="H58" i="1"/>
  <c r="I58" i="1" s="1"/>
  <c r="P24" i="1"/>
  <c r="L62" i="1" s="1"/>
  <c r="N64" i="1" s="1"/>
  <c r="H64" i="1" s="1"/>
  <c r="I64" i="1" s="1"/>
  <c r="H24" i="1"/>
  <c r="I24" i="1" s="1"/>
  <c r="Q26" i="1"/>
  <c r="N25" i="1"/>
  <c r="P64" i="1" l="1"/>
  <c r="P25" i="1"/>
  <c r="H25" i="1"/>
  <c r="I25" i="1" s="1"/>
  <c r="Q27" i="1"/>
  <c r="N26" i="1"/>
  <c r="Q28" i="1" l="1"/>
  <c r="N27" i="1"/>
  <c r="H26" i="1"/>
  <c r="I26" i="1" s="1"/>
  <c r="P26" i="1"/>
  <c r="H27" i="1" l="1"/>
  <c r="I27" i="1" s="1"/>
  <c r="P27" i="1"/>
  <c r="Q29" i="1"/>
  <c r="N28" i="1"/>
  <c r="Q30" i="1" l="1"/>
  <c r="N29" i="1"/>
  <c r="H28" i="1"/>
  <c r="I28" i="1" s="1"/>
  <c r="P28" i="1"/>
  <c r="H29" i="1" l="1"/>
  <c r="I29" i="1" s="1"/>
  <c r="P29" i="1"/>
  <c r="Q31" i="1"/>
  <c r="N30" i="1"/>
  <c r="Q32" i="1" l="1"/>
  <c r="N31" i="1"/>
  <c r="H30" i="1"/>
  <c r="I30" i="1" s="1"/>
  <c r="P30" i="1"/>
  <c r="H31" i="1" l="1"/>
  <c r="I31" i="1" s="1"/>
  <c r="P31" i="1"/>
  <c r="Q33" i="1"/>
  <c r="N32" i="1"/>
  <c r="H32" i="1" l="1"/>
  <c r="I32" i="1" s="1"/>
  <c r="P32" i="1"/>
  <c r="Q34" i="1"/>
  <c r="N33" i="1"/>
  <c r="H33" i="1" l="1"/>
  <c r="I33" i="1" s="1"/>
  <c r="P33" i="1"/>
  <c r="Q35" i="1"/>
  <c r="N34" i="1"/>
  <c r="Q36" i="1" l="1"/>
  <c r="N35" i="1"/>
  <c r="P34" i="1"/>
  <c r="H34" i="1"/>
  <c r="I34" i="1" s="1"/>
  <c r="Q37" i="1" l="1"/>
  <c r="N36" i="1"/>
  <c r="P35" i="1"/>
  <c r="H35" i="1"/>
  <c r="I35" i="1" s="1"/>
  <c r="Q38" i="1" l="1"/>
  <c r="N37" i="1"/>
  <c r="P36" i="1"/>
  <c r="H36" i="1"/>
  <c r="I36" i="1" s="1"/>
  <c r="H37" i="1" l="1"/>
  <c r="I37" i="1" s="1"/>
  <c r="P37" i="1"/>
  <c r="Q39" i="1"/>
  <c r="N39" i="1" s="1"/>
  <c r="N38" i="1"/>
  <c r="P39" i="1" l="1"/>
  <c r="H39" i="1"/>
  <c r="I39" i="1" s="1"/>
  <c r="P38" i="1"/>
  <c r="H38" i="1"/>
  <c r="I3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Jim and Jean Thies</author>
    <author>Thies, James F</author>
  </authors>
  <commentList>
    <comment ref="F7" authorId="0" shapeId="0" xr:uid="{FCCE00AB-D5E9-4A26-854B-150A1F462941}">
      <text>
        <r>
          <rPr>
            <sz val="9"/>
            <color indexed="81"/>
            <rFont val="Tahoma"/>
            <family val="2"/>
          </rPr>
          <t>Put a 0 if the location is only where a connection is being made or only a branch is pulling off of the Main route, and there isn't a USBM.</t>
        </r>
      </text>
    </comment>
    <comment ref="G7" authorId="0" shapeId="0" xr:uid="{3DD53031-B09A-4815-A084-B9488FDA9F93}">
      <text>
        <r>
          <rPr>
            <sz val="9"/>
            <color indexed="81"/>
            <rFont val="Tahoma"/>
            <family val="2"/>
          </rPr>
          <t>Only click in this column to add or remove a branch. Otherwise leave blank.</t>
        </r>
      </text>
    </comment>
    <comment ref="H7" authorId="1" shapeId="0" xr:uid="{19C00543-F045-47C9-8D0B-920C04869C9A}">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7" authorId="1" shapeId="0" xr:uid="{97233D87-E105-4CBC-B17D-2FC82D28F558}">
      <text>
        <r>
          <rPr>
            <sz val="9"/>
            <color indexed="81"/>
            <rFont val="Tahoma"/>
            <family val="2"/>
          </rPr>
          <t>Optical Power level at the ONT.</t>
        </r>
      </text>
    </comment>
    <comment ref="S7" authorId="0" shapeId="0" xr:uid="{556EE907-C40D-4FD5-B362-8B140F97C5C2}">
      <text>
        <r>
          <rPr>
            <sz val="9"/>
            <color indexed="81"/>
            <rFont val="Tahoma"/>
            <family val="2"/>
          </rPr>
          <t>Copy of Branch Name</t>
        </r>
      </text>
    </comment>
    <comment ref="F42" authorId="0" shapeId="0" xr:uid="{48A86030-8890-4555-910C-4D3C26C9383B}">
      <text>
        <r>
          <rPr>
            <sz val="9"/>
            <color indexed="81"/>
            <rFont val="Tahoma"/>
            <family val="2"/>
          </rPr>
          <t>Put a 0 if the location is only where a connection is being made or only a branch is pulling off of the Main route, and there isn't a USBM.</t>
        </r>
      </text>
    </comment>
    <comment ref="G42" authorId="0" shapeId="0" xr:uid="{CF789298-8944-440A-B72C-B6F14E3A7737}">
      <text>
        <r>
          <rPr>
            <sz val="9"/>
            <color indexed="81"/>
            <rFont val="Tahoma"/>
            <family val="2"/>
          </rPr>
          <t>Only click in this column to add or remove a branch. Otherwise leave blank.</t>
        </r>
      </text>
    </comment>
    <comment ref="H42" authorId="1" shapeId="0" xr:uid="{E5018834-9E45-41B4-B39D-66A2512F52A3}">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42" authorId="1" shapeId="0" xr:uid="{122D2242-E409-41BA-B804-A00A771D2EA4}">
      <text>
        <r>
          <rPr>
            <sz val="9"/>
            <color indexed="81"/>
            <rFont val="Tahoma"/>
            <family val="2"/>
          </rPr>
          <t>Optical Power level at the ONT.</t>
        </r>
      </text>
    </comment>
    <comment ref="S42" authorId="0" shapeId="0" xr:uid="{E95FC027-B4B5-4A90-8844-22BEE4E46AF4}">
      <text>
        <r>
          <rPr>
            <sz val="9"/>
            <color indexed="81"/>
            <rFont val="Tahoma"/>
            <family val="2"/>
          </rPr>
          <t>Copy of Branch Name</t>
        </r>
      </text>
    </comment>
    <comment ref="F63" authorId="0" shapeId="0" xr:uid="{69F34EDB-16DC-4A88-B6E0-BACE74140823}">
      <text>
        <r>
          <rPr>
            <sz val="9"/>
            <color indexed="81"/>
            <rFont val="Tahoma"/>
            <family val="2"/>
          </rPr>
          <t>Put a 0 if the location is only where a connection is being made or only a branch is pulling off of the Main route, and there isn't a USBM.</t>
        </r>
      </text>
    </comment>
    <comment ref="G63" authorId="0" shapeId="0" xr:uid="{E7435195-3E9E-42CE-B3D5-B5F22995B6CE}">
      <text>
        <r>
          <rPr>
            <sz val="9"/>
            <color indexed="81"/>
            <rFont val="Tahoma"/>
            <family val="2"/>
          </rPr>
          <t>Only click in this column to add or remove a branch. Otherwise leave blank.</t>
        </r>
      </text>
    </comment>
    <comment ref="H63" authorId="1" shapeId="0" xr:uid="{BFC21E2B-71AA-4619-A0FD-5BCAD1748B12}">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63" authorId="1" shapeId="0" xr:uid="{0F622290-DDD5-44CD-8DDF-10242D8C1029}">
      <text>
        <r>
          <rPr>
            <sz val="9"/>
            <color indexed="81"/>
            <rFont val="Tahoma"/>
            <family val="2"/>
          </rPr>
          <t>Optical Power level at the ONT.</t>
        </r>
      </text>
    </comment>
    <comment ref="S63" authorId="0" shapeId="0" xr:uid="{0EBE80E2-AF48-40A9-A7C2-57BB38EFF773}">
      <text>
        <r>
          <rPr>
            <sz val="9"/>
            <color indexed="81"/>
            <rFont val="Tahoma"/>
            <family val="2"/>
          </rPr>
          <t>Copy of Branch Name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Jim and Jean Thies</author>
    <author>Thies, James F</author>
  </authors>
  <commentList>
    <comment ref="F7" authorId="0" shapeId="0" xr:uid="{B9B81B6E-E96E-4345-8E49-FD5FB2A0C00B}">
      <text>
        <r>
          <rPr>
            <sz val="9"/>
            <color indexed="81"/>
            <rFont val="Tahoma"/>
            <family val="2"/>
          </rPr>
          <t>Put a 0 if the location is only where a connection is being made or only a branch is pulling off of the Main route, and there isn't a USBM.</t>
        </r>
      </text>
    </comment>
    <comment ref="G7" authorId="0" shapeId="0" xr:uid="{1802828C-BBBE-4007-AB68-65447AC6FA9F}">
      <text>
        <r>
          <rPr>
            <sz val="9"/>
            <color indexed="81"/>
            <rFont val="Tahoma"/>
            <family val="2"/>
          </rPr>
          <t>Only click in this column to add or remove a branch. Otherwise leave blank.</t>
        </r>
      </text>
    </comment>
    <comment ref="H7" authorId="1" shapeId="0" xr:uid="{C1CF685F-A337-43EE-B02E-D95D9C26E918}">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7" authorId="1" shapeId="0" xr:uid="{0FA287BE-5949-4D98-A9CB-09821C60D995}">
      <text>
        <r>
          <rPr>
            <sz val="9"/>
            <color indexed="81"/>
            <rFont val="Tahoma"/>
            <family val="2"/>
          </rPr>
          <t>Optical Power level at the ONT.</t>
        </r>
      </text>
    </comment>
    <comment ref="S7" authorId="0" shapeId="0" xr:uid="{B2B95567-BA81-4E66-A732-39CE59FF9640}">
      <text>
        <r>
          <rPr>
            <sz val="9"/>
            <color indexed="81"/>
            <rFont val="Tahoma"/>
            <family val="2"/>
          </rPr>
          <t>Copy of Branch Name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Jim and Jean Thies</author>
    <author>Thies, James F</author>
  </authors>
  <commentList>
    <comment ref="F7" authorId="0" shapeId="0" xr:uid="{AC1AFDEE-190C-44CD-ADD3-022ED2E64109}">
      <text>
        <r>
          <rPr>
            <sz val="9"/>
            <color indexed="81"/>
            <rFont val="Tahoma"/>
            <family val="2"/>
          </rPr>
          <t>Put a 0 if the location is only where a connection is being made or only a branch is pulling off of the Main route, and there isn't a USBM.</t>
        </r>
      </text>
    </comment>
    <comment ref="G7" authorId="0" shapeId="0" xr:uid="{49F7EB47-67AA-4D73-8FD4-02B5B92A5742}">
      <text>
        <r>
          <rPr>
            <sz val="9"/>
            <color indexed="81"/>
            <rFont val="Tahoma"/>
            <family val="2"/>
          </rPr>
          <t>Only click in this column to add or remove a branch. Otherwise leave blank.</t>
        </r>
      </text>
    </comment>
    <comment ref="H7" authorId="1" shapeId="0" xr:uid="{783000FB-F2D2-416A-AEB2-B7B4BFB96526}">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7" authorId="1" shapeId="0" xr:uid="{6D929402-98F3-4BC7-B6A4-F30D277A23DF}">
      <text>
        <r>
          <rPr>
            <sz val="9"/>
            <color indexed="81"/>
            <rFont val="Tahoma"/>
            <family val="2"/>
          </rPr>
          <t>Optical Power level at the ONT.</t>
        </r>
      </text>
    </comment>
    <comment ref="S7" authorId="0" shapeId="0" xr:uid="{1676BE9E-EB2E-4DC6-8E98-8381CB5A2069}">
      <text>
        <r>
          <rPr>
            <sz val="9"/>
            <color indexed="81"/>
            <rFont val="Tahoma"/>
            <family val="2"/>
          </rPr>
          <t>Copy of Branch Name</t>
        </r>
      </text>
    </comment>
    <comment ref="F42" authorId="0" shapeId="0" xr:uid="{D3D39E51-6C2D-453F-9A56-F4CD7AA49FEA}">
      <text>
        <r>
          <rPr>
            <sz val="9"/>
            <color indexed="81"/>
            <rFont val="Tahoma"/>
            <family val="2"/>
          </rPr>
          <t>Put a 0 if the location is only where a connection is being made or only a branch is pulling off of the Main route, and there isn't a USBM.</t>
        </r>
      </text>
    </comment>
    <comment ref="G42" authorId="0" shapeId="0" xr:uid="{328DE85B-21BA-49EB-B4F4-7D91E0049C7C}">
      <text>
        <r>
          <rPr>
            <sz val="9"/>
            <color indexed="81"/>
            <rFont val="Tahoma"/>
            <family val="2"/>
          </rPr>
          <t>Only click in this column to add or remove a branch. Otherwise leave blank.</t>
        </r>
      </text>
    </comment>
    <comment ref="H42" authorId="1" shapeId="0" xr:uid="{39335F10-825C-4734-90E6-566DE110A23B}">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42" authorId="1" shapeId="0" xr:uid="{75195CA2-4C90-4EA7-9BE4-A242C4401C15}">
      <text>
        <r>
          <rPr>
            <sz val="9"/>
            <color indexed="81"/>
            <rFont val="Tahoma"/>
            <family val="2"/>
          </rPr>
          <t>Optical Power level at the ONT.</t>
        </r>
      </text>
    </comment>
    <comment ref="S42" authorId="0" shapeId="0" xr:uid="{48181DD2-3ECD-4950-B0EF-99A01FEB8FB6}">
      <text>
        <r>
          <rPr>
            <sz val="9"/>
            <color indexed="81"/>
            <rFont val="Tahoma"/>
            <family val="2"/>
          </rPr>
          <t>Copy of Branch Name</t>
        </r>
      </text>
    </comment>
    <comment ref="F76" authorId="0" shapeId="0" xr:uid="{747EE369-1540-4093-B9E1-324A821A619B}">
      <text>
        <r>
          <rPr>
            <sz val="9"/>
            <color indexed="81"/>
            <rFont val="Tahoma"/>
            <family val="2"/>
          </rPr>
          <t>Put a 0 if the location is only where a connection is being made or only a branch is pulling off of the Main route, and there isn't a USBM.</t>
        </r>
      </text>
    </comment>
    <comment ref="G76" authorId="0" shapeId="0" xr:uid="{B8137BE1-3083-4A46-849D-6CA46F29B082}">
      <text>
        <r>
          <rPr>
            <sz val="9"/>
            <color indexed="81"/>
            <rFont val="Tahoma"/>
            <family val="2"/>
          </rPr>
          <t>Only click in this column to add or remove a branch. Otherwise leave blank.</t>
        </r>
      </text>
    </comment>
    <comment ref="H76" authorId="1" shapeId="0" xr:uid="{6A05FCCE-6BDB-414C-9EA3-566E62B33074}">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76" authorId="1" shapeId="0" xr:uid="{E7CB6B7B-D3DA-492B-AD65-C902C3923D3D}">
      <text>
        <r>
          <rPr>
            <sz val="9"/>
            <color indexed="81"/>
            <rFont val="Tahoma"/>
            <family val="2"/>
          </rPr>
          <t>Optical Power level at the ONT.</t>
        </r>
      </text>
    </comment>
    <comment ref="S76" authorId="0" shapeId="0" xr:uid="{4CF639C9-38BC-46F9-856B-49B7EE27B8AE}">
      <text>
        <r>
          <rPr>
            <sz val="9"/>
            <color indexed="81"/>
            <rFont val="Tahoma"/>
            <family val="2"/>
          </rPr>
          <t>Copy of Branch Name</t>
        </r>
      </text>
    </comment>
    <comment ref="F108" authorId="0" shapeId="0" xr:uid="{B74D078C-AB57-4318-B86A-8BE45F530522}">
      <text>
        <r>
          <rPr>
            <sz val="9"/>
            <color indexed="81"/>
            <rFont val="Tahoma"/>
            <family val="2"/>
          </rPr>
          <t>Put a 0 if the location is only where a connection is being made or only a branch is pulling off of the Main route, and there isn't a USBM.</t>
        </r>
      </text>
    </comment>
    <comment ref="G108" authorId="0" shapeId="0" xr:uid="{A8C9445B-E64C-42EC-AEE0-D6BE82273003}">
      <text>
        <r>
          <rPr>
            <sz val="9"/>
            <color indexed="81"/>
            <rFont val="Tahoma"/>
            <family val="2"/>
          </rPr>
          <t>Only click in this column to add or remove a branch. Otherwise leave blank.</t>
        </r>
      </text>
    </comment>
    <comment ref="H108" authorId="1" shapeId="0" xr:uid="{1E993388-0651-4174-8E0D-A3CF44F47ADF}">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108" authorId="1" shapeId="0" xr:uid="{9ABE1C99-D866-4C6F-AB36-C3334578BC2E}">
      <text>
        <r>
          <rPr>
            <sz val="9"/>
            <color indexed="81"/>
            <rFont val="Tahoma"/>
            <family val="2"/>
          </rPr>
          <t>Optical Power level at the ONT.</t>
        </r>
      </text>
    </comment>
    <comment ref="S108" authorId="0" shapeId="0" xr:uid="{14B22270-BC60-4610-94D0-91BF817FA9D9}">
      <text>
        <r>
          <rPr>
            <sz val="9"/>
            <color indexed="81"/>
            <rFont val="Tahoma"/>
            <family val="2"/>
          </rPr>
          <t>Copy of Branch Name</t>
        </r>
      </text>
    </comment>
    <comment ref="F127" authorId="0" shapeId="0" xr:uid="{75C96801-5019-45FB-9268-04BFBF17F000}">
      <text>
        <r>
          <rPr>
            <sz val="9"/>
            <color indexed="81"/>
            <rFont val="Tahoma"/>
            <family val="2"/>
          </rPr>
          <t>Put a 0 if the location is only where a connection is being made or only a branch is pulling off of the Main route, and there isn't a USBM.</t>
        </r>
      </text>
    </comment>
    <comment ref="G127" authorId="0" shapeId="0" xr:uid="{F0884CB0-9577-4C53-9DD1-C8E2505B85C0}">
      <text>
        <r>
          <rPr>
            <sz val="9"/>
            <color indexed="81"/>
            <rFont val="Tahoma"/>
            <family val="2"/>
          </rPr>
          <t>Only click in this column to add or remove a branch. Otherwise leave blank.</t>
        </r>
      </text>
    </comment>
    <comment ref="H127" authorId="1" shapeId="0" xr:uid="{935A167C-C7A4-4948-BFD0-276085FF13E6}">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127" authorId="1" shapeId="0" xr:uid="{D6D1573E-909B-4C83-924D-D65A228DA67C}">
      <text>
        <r>
          <rPr>
            <sz val="9"/>
            <color indexed="81"/>
            <rFont val="Tahoma"/>
            <family val="2"/>
          </rPr>
          <t>Optical Power level at the ONT.</t>
        </r>
      </text>
    </comment>
    <comment ref="S127" authorId="0" shapeId="0" xr:uid="{7CBE1E9D-C6A8-453D-8586-5E2F5FDB5598}">
      <text>
        <r>
          <rPr>
            <sz val="9"/>
            <color indexed="81"/>
            <rFont val="Tahoma"/>
            <family val="2"/>
          </rPr>
          <t>Copy of Branch Name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Jim and Jean Thies</author>
    <author>Thies, James F</author>
  </authors>
  <commentList>
    <comment ref="F7" authorId="0" shapeId="0" xr:uid="{479C419F-353D-47C3-9045-D28E636D48B6}">
      <text>
        <r>
          <rPr>
            <sz val="9"/>
            <color indexed="81"/>
            <rFont val="Tahoma"/>
            <family val="2"/>
          </rPr>
          <t>Put a 0 if the location is only where a connection is being made or only a branch is pulling off of the Main route, and there isn't a USBM.</t>
        </r>
      </text>
    </comment>
    <comment ref="G7" authorId="0" shapeId="0" xr:uid="{FC0E94E0-19BC-49AB-A90C-21746441C83C}">
      <text>
        <r>
          <rPr>
            <sz val="9"/>
            <color indexed="81"/>
            <rFont val="Tahoma"/>
            <family val="2"/>
          </rPr>
          <t>Only click in this column to add or remove a branch. Otherwise leave blank.</t>
        </r>
      </text>
    </comment>
    <comment ref="H7" authorId="1" shapeId="0" xr:uid="{947F14F4-83A5-44DD-8C2F-7214E1875216}">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7" authorId="1" shapeId="0" xr:uid="{89DD6F68-9F2B-4575-92CA-8E77745C860E}">
      <text>
        <r>
          <rPr>
            <sz val="9"/>
            <color indexed="81"/>
            <rFont val="Tahoma"/>
            <family val="2"/>
          </rPr>
          <t>Optical Power level at the ONT.</t>
        </r>
      </text>
    </comment>
    <comment ref="S7" authorId="0" shapeId="0" xr:uid="{B2054BE2-7DE4-4345-AA15-5FE26D685450}">
      <text>
        <r>
          <rPr>
            <sz val="9"/>
            <color indexed="81"/>
            <rFont val="Tahoma"/>
            <family val="2"/>
          </rPr>
          <t>Copy of Branch Name</t>
        </r>
      </text>
    </comment>
    <comment ref="F42" authorId="0" shapeId="0" xr:uid="{8856777B-97DB-4606-B13F-46E2C8B55C07}">
      <text>
        <r>
          <rPr>
            <sz val="9"/>
            <color indexed="81"/>
            <rFont val="Tahoma"/>
            <family val="2"/>
          </rPr>
          <t>Put a 0 if the location is only where a connection is being made or only a branch is pulling off of the Main route, and there isn't a USBM.</t>
        </r>
      </text>
    </comment>
    <comment ref="G42" authorId="0" shapeId="0" xr:uid="{7B8BD4F6-8BC4-46FF-9381-091BD2DA03FE}">
      <text>
        <r>
          <rPr>
            <sz val="9"/>
            <color indexed="81"/>
            <rFont val="Tahoma"/>
            <family val="2"/>
          </rPr>
          <t>Only click in this column to add or remove a branch. Otherwise leave blank.</t>
        </r>
      </text>
    </comment>
    <comment ref="H42" authorId="1" shapeId="0" xr:uid="{57D23903-324F-428A-9293-ED9A54874772}">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42" authorId="1" shapeId="0" xr:uid="{A12E2051-1CCA-4A91-96B3-6C2A60373CF1}">
      <text>
        <r>
          <rPr>
            <sz val="9"/>
            <color indexed="81"/>
            <rFont val="Tahoma"/>
            <family val="2"/>
          </rPr>
          <t>Optical Power level at the ONT.</t>
        </r>
      </text>
    </comment>
    <comment ref="S42" authorId="0" shapeId="0" xr:uid="{9E1AFB81-6C59-4993-A173-08D3E79977B8}">
      <text>
        <r>
          <rPr>
            <sz val="9"/>
            <color indexed="81"/>
            <rFont val="Tahoma"/>
            <family val="2"/>
          </rPr>
          <t>Copy of Branch Name</t>
        </r>
      </text>
    </comment>
    <comment ref="F75" authorId="0" shapeId="0" xr:uid="{DD1F4A5C-C21A-4313-B71F-7DBCD9AC8F58}">
      <text>
        <r>
          <rPr>
            <sz val="9"/>
            <color indexed="81"/>
            <rFont val="Tahoma"/>
            <family val="2"/>
          </rPr>
          <t>Put a 0 if the location is only where a connection is being made or only a branch is pulling off of the Main route, and there isn't a USBM.</t>
        </r>
      </text>
    </comment>
    <comment ref="G75" authorId="0" shapeId="0" xr:uid="{96E01028-91B1-40AB-9F8A-D8D1A676BB51}">
      <text>
        <r>
          <rPr>
            <sz val="9"/>
            <color indexed="81"/>
            <rFont val="Tahoma"/>
            <family val="2"/>
          </rPr>
          <t>Only click in this column to add or remove a branch. Otherwise leave blank.</t>
        </r>
      </text>
    </comment>
    <comment ref="H75" authorId="1" shapeId="0" xr:uid="{CDF2B04B-71BB-4FED-BA58-5DA5E7CCFBD0}">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75" authorId="1" shapeId="0" xr:uid="{ACC452C0-4DA5-4857-B6D8-9288409AEB6E}">
      <text>
        <r>
          <rPr>
            <sz val="9"/>
            <color indexed="81"/>
            <rFont val="Tahoma"/>
            <family val="2"/>
          </rPr>
          <t>Optical Power level at the ONT.</t>
        </r>
      </text>
    </comment>
    <comment ref="S75" authorId="0" shapeId="0" xr:uid="{218C9134-2565-477F-B93B-D3F6F9A30017}">
      <text>
        <r>
          <rPr>
            <sz val="9"/>
            <color indexed="81"/>
            <rFont val="Tahoma"/>
            <family val="2"/>
          </rPr>
          <t>Copy of Branch Name</t>
        </r>
      </text>
    </comment>
    <comment ref="F103" authorId="0" shapeId="0" xr:uid="{0DE72B80-903C-4125-98C6-2524C7A56E01}">
      <text>
        <r>
          <rPr>
            <sz val="9"/>
            <color indexed="81"/>
            <rFont val="Tahoma"/>
            <family val="2"/>
          </rPr>
          <t>Put a 0 if the location is only where a connection is being made or only a branch is pulling off of the Main route, and there isn't a USBM.</t>
        </r>
      </text>
    </comment>
    <comment ref="G103" authorId="0" shapeId="0" xr:uid="{F5BD5509-06A9-46FA-A7CA-738738085D64}">
      <text>
        <r>
          <rPr>
            <sz val="9"/>
            <color indexed="81"/>
            <rFont val="Tahoma"/>
            <family val="2"/>
          </rPr>
          <t>Only click in this column to add or remove a branch. Otherwise leave blank.</t>
        </r>
      </text>
    </comment>
    <comment ref="H103" authorId="1" shapeId="0" xr:uid="{3B814BDC-ABA8-4DA6-81BB-361E9C4321CC}">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103" authorId="1" shapeId="0" xr:uid="{B471E74C-D8AB-4E31-A78E-7E797C45B4D1}">
      <text>
        <r>
          <rPr>
            <sz val="9"/>
            <color indexed="81"/>
            <rFont val="Tahoma"/>
            <family val="2"/>
          </rPr>
          <t>Optical Power level at the ONT.</t>
        </r>
      </text>
    </comment>
    <comment ref="S103" authorId="0" shapeId="0" xr:uid="{E44AD8A6-8568-4112-9FDE-F3CB9DE03C23}">
      <text>
        <r>
          <rPr>
            <sz val="9"/>
            <color indexed="81"/>
            <rFont val="Tahoma"/>
            <family val="2"/>
          </rPr>
          <t>Copy of Branch Name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Jim and Jean Thies</author>
    <author>Thies, James F</author>
  </authors>
  <commentList>
    <comment ref="F7" authorId="0" shapeId="0" xr:uid="{BC02F546-9464-4B6F-8C6B-5184D333AF7A}">
      <text>
        <r>
          <rPr>
            <sz val="9"/>
            <color indexed="81"/>
            <rFont val="Tahoma"/>
            <family val="2"/>
          </rPr>
          <t>Put a 0 if the location is only where a connection is being made or only a branch is pulling off of the Main route, and there isn't a USBM.</t>
        </r>
      </text>
    </comment>
    <comment ref="G7" authorId="0" shapeId="0" xr:uid="{6F42C3AD-E8E8-4673-A6DE-9DF82F80C747}">
      <text>
        <r>
          <rPr>
            <sz val="9"/>
            <color indexed="81"/>
            <rFont val="Tahoma"/>
            <family val="2"/>
          </rPr>
          <t>Only click in this column to add or remove a branch. Otherwise leave blank.</t>
        </r>
      </text>
    </comment>
    <comment ref="H7" authorId="1" shapeId="0" xr:uid="{B86E0FDC-7C0D-4F40-98EA-F3DC779FDD22}">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7" authorId="1" shapeId="0" xr:uid="{A4B5819D-680B-43F7-95AF-9A8867867826}">
      <text>
        <r>
          <rPr>
            <sz val="9"/>
            <color indexed="81"/>
            <rFont val="Tahoma"/>
            <family val="2"/>
          </rPr>
          <t>Optical Power level at the ONT.</t>
        </r>
      </text>
    </comment>
    <comment ref="S7" authorId="0" shapeId="0" xr:uid="{E03307CB-1C9D-489A-BF21-4E0AF4CFEDB9}">
      <text>
        <r>
          <rPr>
            <sz val="9"/>
            <color indexed="81"/>
            <rFont val="Tahoma"/>
            <family val="2"/>
          </rPr>
          <t>Copy of Branch Name</t>
        </r>
      </text>
    </comment>
    <comment ref="F42" authorId="0" shapeId="0" xr:uid="{42C99C1F-C3BA-4522-8302-C6DEF79CBC47}">
      <text>
        <r>
          <rPr>
            <sz val="9"/>
            <color indexed="81"/>
            <rFont val="Tahoma"/>
            <family val="2"/>
          </rPr>
          <t>Put a 0 if the location is only where a connection is being made or only a branch is pulling off of the Main route, and there isn't a USBM.</t>
        </r>
      </text>
    </comment>
    <comment ref="G42" authorId="0" shapeId="0" xr:uid="{41E8C475-8DF9-4097-98FE-CB4910D23C78}">
      <text>
        <r>
          <rPr>
            <sz val="9"/>
            <color indexed="81"/>
            <rFont val="Tahoma"/>
            <family val="2"/>
          </rPr>
          <t>Only click in this column to add or remove a branch. Otherwise leave blank.</t>
        </r>
      </text>
    </comment>
    <comment ref="H42" authorId="1" shapeId="0" xr:uid="{CCA8E683-D530-430B-B5A8-DA807CCEE60C}">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42" authorId="1" shapeId="0" xr:uid="{491311F3-95E9-43BC-82EA-6607F8638761}">
      <text>
        <r>
          <rPr>
            <sz val="9"/>
            <color indexed="81"/>
            <rFont val="Tahoma"/>
            <family val="2"/>
          </rPr>
          <t>Optical Power level at the ONT.</t>
        </r>
      </text>
    </comment>
    <comment ref="S42" authorId="0" shapeId="0" xr:uid="{8B90CE80-E9D8-456E-B948-CBC074E49C16}">
      <text>
        <r>
          <rPr>
            <sz val="9"/>
            <color indexed="81"/>
            <rFont val="Tahoma"/>
            <family val="2"/>
          </rPr>
          <t>Copy of Branch Name</t>
        </r>
      </text>
    </comment>
    <comment ref="F74" authorId="0" shapeId="0" xr:uid="{1E4BE0E3-8B8C-4BFC-B357-74F972C0C936}">
      <text>
        <r>
          <rPr>
            <sz val="9"/>
            <color indexed="81"/>
            <rFont val="Tahoma"/>
            <family val="2"/>
          </rPr>
          <t>Put a 0 if the location is only where a connection is being made or only a branch is pulling off of the Main route, and there isn't a USBM.</t>
        </r>
      </text>
    </comment>
    <comment ref="G74" authorId="0" shapeId="0" xr:uid="{D0DCA5D9-42B3-4399-8640-02E7ED7B6277}">
      <text>
        <r>
          <rPr>
            <sz val="9"/>
            <color indexed="81"/>
            <rFont val="Tahoma"/>
            <family val="2"/>
          </rPr>
          <t>Only click in this column to add or remove a branch. Otherwise leave blank.</t>
        </r>
      </text>
    </comment>
    <comment ref="H74" authorId="1" shapeId="0" xr:uid="{7BCA736E-0863-49C8-B03C-B147E91AC41C}">
      <text>
        <r>
          <rPr>
            <sz val="9"/>
            <color indexed="81"/>
            <rFont val="Tahoma"/>
            <family val="2"/>
          </rPr>
          <t xml:space="preserve">Optical Power level on the </t>
        </r>
        <r>
          <rPr>
            <b/>
            <u/>
            <sz val="9"/>
            <color indexed="81"/>
            <rFont val="Tahoma"/>
            <family val="2"/>
          </rPr>
          <t>Drop</t>
        </r>
        <r>
          <rPr>
            <sz val="9"/>
            <color indexed="81"/>
            <rFont val="Tahoma"/>
            <family val="2"/>
          </rPr>
          <t xml:space="preserve"> side of Terminal.</t>
        </r>
      </text>
    </comment>
    <comment ref="I74" authorId="1" shapeId="0" xr:uid="{B8EC4BBA-2950-41CF-B603-8ED3D0EAE46C}">
      <text>
        <r>
          <rPr>
            <sz val="9"/>
            <color indexed="81"/>
            <rFont val="Tahoma"/>
            <family val="2"/>
          </rPr>
          <t>Optical Power level at the ONT.</t>
        </r>
      </text>
    </comment>
    <comment ref="S74" authorId="0" shapeId="0" xr:uid="{EF16D410-5D34-4652-B25C-6885E31EBA36}">
      <text>
        <r>
          <rPr>
            <sz val="9"/>
            <color indexed="81"/>
            <rFont val="Tahoma"/>
            <family val="2"/>
          </rPr>
          <t>Copy of Branch Name</t>
        </r>
      </text>
    </comment>
  </commentList>
</comments>
</file>

<file path=xl/sharedStrings.xml><?xml version="1.0" encoding="utf-8"?>
<sst xmlns="http://schemas.openxmlformats.org/spreadsheetml/2006/main" count="955" uniqueCount="348">
  <si>
    <t>Customized for
Windstream by
Plugin Optics</t>
  </si>
  <si>
    <t>General</t>
  </si>
  <si>
    <r>
      <t xml:space="preserve">This ODN Diagrammatic tool was created to assist an Engineer with building a Schematic of the </t>
    </r>
    <r>
      <rPr>
        <u/>
        <sz val="11"/>
        <color theme="1"/>
        <rFont val="Calibri"/>
        <family val="2"/>
        <scheme val="minor"/>
      </rPr>
      <t>Optical Distribution Network</t>
    </r>
    <r>
      <rPr>
        <sz val="11"/>
        <color theme="1"/>
        <rFont val="Calibri"/>
        <family val="2"/>
        <scheme val="minor"/>
      </rPr>
      <t xml:space="preserve"> (ODN) from a FDSH.</t>
    </r>
  </si>
  <si>
    <t>The workbook contains this Instructions tab, a Standards tab, a Parts tab, and the Splitter 1 tab where the terminal run information is input.</t>
  </si>
  <si>
    <t xml:space="preserve">Additional sheets may be generated based on user input and selections. </t>
  </si>
  <si>
    <t xml:space="preserve">Each splitter in the FDSH will require their own tab. </t>
  </si>
  <si>
    <t>Supporting sheets are intentionally hidden.</t>
  </si>
  <si>
    <r>
      <rPr>
        <b/>
        <u/>
        <sz val="11"/>
        <color theme="1"/>
        <rFont val="Calibri"/>
        <family val="2"/>
        <scheme val="minor"/>
      </rPr>
      <t>NOTE:</t>
    </r>
    <r>
      <rPr>
        <sz val="11"/>
        <color theme="1"/>
        <rFont val="Calibri"/>
        <family val="2"/>
        <scheme val="minor"/>
      </rPr>
      <t xml:space="preserve"> Dual splitters should be treated as individual splitters due to how power calculations are generated. For instance, a dual 1x16 splitter would require two individual tabs.</t>
    </r>
  </si>
  <si>
    <t>The sheets are locked except for cells where entries or changes are allowed.</t>
  </si>
  <si>
    <r>
      <t xml:space="preserve">This tool only allows for the Diagrammatic of </t>
    </r>
    <r>
      <rPr>
        <b/>
        <i/>
        <sz val="12"/>
        <color theme="1"/>
        <rFont val="Calibri"/>
        <family val="2"/>
        <scheme val="minor"/>
      </rPr>
      <t>one</t>
    </r>
    <r>
      <rPr>
        <sz val="11"/>
        <color theme="1"/>
        <rFont val="Calibri"/>
        <family val="2"/>
        <scheme val="minor"/>
      </rPr>
      <t xml:space="preserve"> ODN from a single FDSH. A splitter run consists of a main line having multiple terminals,
and associated branches off of that main run.</t>
    </r>
  </si>
  <si>
    <t>Note: The BOM that is generated will only contain parts directly associated with the ODN. Other items will likely be required. Update BD4 to BD5MPF when a 10" ped is required.</t>
  </si>
  <si>
    <t>Getting Started</t>
  </si>
  <si>
    <r>
      <rPr>
        <b/>
        <sz val="14"/>
        <color theme="1"/>
        <rFont val="Calibri"/>
        <family val="2"/>
        <scheme val="minor"/>
      </rPr>
      <t>IMPORTANT</t>
    </r>
    <r>
      <rPr>
        <sz val="14"/>
        <color theme="1"/>
        <rFont val="Calibri"/>
        <family val="2"/>
        <scheme val="minor"/>
      </rPr>
      <t xml:space="preserve">: </t>
    </r>
    <r>
      <rPr>
        <b/>
        <sz val="14"/>
        <color rgb="FFFF0000"/>
        <rFont val="Calibri"/>
        <family val="2"/>
        <scheme val="minor"/>
      </rPr>
      <t>You must enable macros (or Content) for this Designer to work correctly.</t>
    </r>
  </si>
  <si>
    <t>Select the first splitter tab (Splitter 1).</t>
  </si>
  <si>
    <t>Blue cells on the first 5 rows are base values that should be confirmed before continuing with the Designer. Follow bulletin for detailed instructions.</t>
  </si>
  <si>
    <t>Enter a project name in cell B2. Other entries may be made in the blue cells on rows 2 through 5.</t>
  </si>
  <si>
    <t>XGS-PON is the default in cell E2. This can be changed dependent on your project's PON type.</t>
  </si>
  <si>
    <t>The remaining blue cells on these first 5 rows have default values that may be adjusted based on your guidelines.</t>
  </si>
  <si>
    <r>
      <t xml:space="preserve">Starting with Sequence 1 on row 8, </t>
    </r>
    <r>
      <rPr>
        <b/>
        <u/>
        <sz val="11"/>
        <color rgb="FFFF0000"/>
        <rFont val="Calibri"/>
        <family val="2"/>
        <scheme val="minor"/>
      </rPr>
      <t>the blue cells are required.</t>
    </r>
    <r>
      <rPr>
        <sz val="11"/>
        <color theme="1"/>
        <rFont val="Calibri"/>
        <family val="2"/>
        <scheme val="minor"/>
      </rPr>
      <t xml:space="preserve">
</t>
    </r>
    <r>
      <rPr>
        <b/>
        <sz val="11"/>
        <color rgb="FFFF0000"/>
        <rFont val="Calibri"/>
        <family val="2"/>
        <scheme val="minor"/>
      </rPr>
      <t xml:space="preserve">NOTE: </t>
    </r>
    <r>
      <rPr>
        <b/>
        <u/>
        <sz val="11"/>
        <color rgb="FFFF0000"/>
        <rFont val="Calibri"/>
        <family val="2"/>
        <scheme val="minor"/>
      </rPr>
      <t>DO NOT</t>
    </r>
    <r>
      <rPr>
        <b/>
        <sz val="11"/>
        <color rgb="FFFF0000"/>
        <rFont val="Calibri"/>
        <family val="2"/>
        <scheme val="minor"/>
      </rPr>
      <t xml:space="preserve"> skip a sequence.</t>
    </r>
    <r>
      <rPr>
        <sz val="11"/>
        <color theme="1"/>
        <rFont val="Calibri"/>
        <family val="2"/>
        <scheme val="minor"/>
      </rPr>
      <t xml:space="preserve"> If a blue value is left blank, the macro may assume that it has reached the end of the route.</t>
    </r>
  </si>
  <si>
    <t>A terminal with "0" ports will add splice or connector loss based on the selection in H5 (Dist. Cable Connectivity).</t>
  </si>
  <si>
    <t xml:space="preserve">The Route and Terminal fields should ALWAYS be populated. </t>
  </si>
  <si>
    <r>
      <rPr>
        <b/>
        <sz val="11"/>
        <color theme="1"/>
        <rFont val="Calibri"/>
        <family val="2"/>
        <scheme val="minor"/>
      </rPr>
      <t>Dist. Cable Connectivity</t>
    </r>
    <r>
      <rPr>
        <sz val="11"/>
        <color theme="1"/>
        <rFont val="Calibri"/>
        <family val="2"/>
        <scheme val="minor"/>
      </rPr>
      <t xml:space="preserve"> - this is for use where the distribution cable is either pre-connectorized or spliced. Select the type of connectors being used.</t>
    </r>
  </si>
  <si>
    <r>
      <rPr>
        <b/>
        <sz val="11"/>
        <color theme="1"/>
        <rFont val="Calibri"/>
        <family val="2"/>
        <scheme val="minor"/>
      </rPr>
      <t>Quantity Dist. Connectors</t>
    </r>
    <r>
      <rPr>
        <sz val="11"/>
        <color theme="1"/>
        <rFont val="Calibri"/>
        <family val="2"/>
        <scheme val="minor"/>
      </rPr>
      <t xml:space="preserve"> - this is used in situations where F1 fibers are in sub feeder (F1 fibers in same sheath as distribution fibers). Or where a splitter's run starts several splices downstream from the FDSH.</t>
    </r>
  </si>
  <si>
    <t>Adding splitters:</t>
  </si>
  <si>
    <t>As noted above, each splitter in the FDSH will require their own tab. And a dual splitter will require two tabs, since these are effectively two individual splitters built into a single module.</t>
  </si>
  <si>
    <t>Click the "Add splitter" button on any existing splitter tab to generate a new splitter tab.</t>
  </si>
  <si>
    <t>Branches:</t>
  </si>
  <si>
    <t>You may create a branch by selecting "Yes" in the Branch column (column G) at the terminal location where the branch starts. A new section will be created for the branch.</t>
  </si>
  <si>
    <r>
      <t xml:space="preserve">If you have two branches leaving from the same location, use the </t>
    </r>
    <r>
      <rPr>
        <b/>
        <u/>
        <sz val="11"/>
        <color theme="1"/>
        <rFont val="Calibri"/>
        <family val="2"/>
        <scheme val="minor"/>
      </rPr>
      <t>next</t>
    </r>
    <r>
      <rPr>
        <sz val="11"/>
        <color theme="1"/>
        <rFont val="Calibri"/>
        <family val="2"/>
        <scheme val="minor"/>
      </rPr>
      <t xml:space="preserve"> row and use the </t>
    </r>
    <r>
      <rPr>
        <b/>
        <u/>
        <sz val="11"/>
        <color theme="1"/>
        <rFont val="Calibri"/>
        <family val="2"/>
        <scheme val="minor"/>
      </rPr>
      <t>same</t>
    </r>
    <r>
      <rPr>
        <sz val="11"/>
        <color theme="1"/>
        <rFont val="Calibri"/>
        <family val="2"/>
        <scheme val="minor"/>
      </rPr>
      <t xml:space="preserve"> terminal information with a 1' span length. </t>
    </r>
    <r>
      <rPr>
        <b/>
        <sz val="11"/>
        <color rgb="FFFF0000"/>
        <rFont val="Calibri"/>
        <family val="2"/>
        <scheme val="minor"/>
      </rPr>
      <t>DROP PORTS = 0 for this scenario.</t>
    </r>
  </si>
  <si>
    <t>The best practice involves using the main splitter section for the longest runs that serve the most terminals, even when the physical path is not direct; shorter side taps should utilize branches.</t>
  </si>
  <si>
    <r>
      <rPr>
        <b/>
        <sz val="11"/>
        <color rgb="FFFF0000"/>
        <rFont val="Calibri"/>
        <family val="2"/>
        <scheme val="minor"/>
      </rPr>
      <t xml:space="preserve">The last terminal on the main splitter section or on branch sections should always be a terminal with 2 or more ports. </t>
    </r>
    <r>
      <rPr>
        <b/>
        <u/>
        <sz val="11"/>
        <color rgb="FFFF0000"/>
        <rFont val="Calibri"/>
        <family val="2"/>
        <scheme val="minor"/>
      </rPr>
      <t>It should never be a branch.</t>
    </r>
  </si>
  <si>
    <t>REMEMBER: you are modeling a signal and not a physical path.</t>
  </si>
  <si>
    <r>
      <rPr>
        <b/>
        <sz val="16"/>
        <color theme="1"/>
        <rFont val="Calibri"/>
        <family val="2"/>
        <scheme val="minor"/>
      </rPr>
      <t>IMPORTANT NOTE FOR SPLITTERS AND BRANCHES</t>
    </r>
    <r>
      <rPr>
        <sz val="16"/>
        <color theme="1"/>
        <rFont val="Calibri"/>
        <family val="2"/>
        <scheme val="minor"/>
      </rPr>
      <t xml:space="preserve">: </t>
    </r>
    <r>
      <rPr>
        <b/>
        <sz val="16"/>
        <color rgb="FFFF0000"/>
        <rFont val="Calibri"/>
        <family val="2"/>
        <scheme val="minor"/>
      </rPr>
      <t>You should never rename these tabs or sections! The underlying program tracks them by the system generated name.</t>
    </r>
  </si>
  <si>
    <t>Schematic</t>
  </si>
  <si>
    <t>Once the design is completed and there are no red cells in the Main or Branch sections, click the "Draw Schematic" button.</t>
  </si>
  <si>
    <t>Note: The Schematic represents a single splitter. Each splitter tab will have its own Schematic.</t>
  </si>
  <si>
    <r>
      <t xml:space="preserve">The schematic shows the location (Route/Lead), Part #, and expected power </t>
    </r>
    <r>
      <rPr>
        <u/>
        <sz val="11"/>
        <color theme="1"/>
        <rFont val="Calibri"/>
        <family val="2"/>
        <scheme val="minor"/>
      </rPr>
      <t>levels</t>
    </r>
    <r>
      <rPr>
        <sz val="11"/>
        <color theme="1"/>
        <rFont val="Calibri"/>
        <family val="2"/>
        <scheme val="minor"/>
      </rPr>
      <t xml:space="preserve"> at each of the designed components.</t>
    </r>
  </si>
  <si>
    <t>The calculated power level is shown for a typical ONT served from each terminal location.</t>
  </si>
  <si>
    <t>The picture above shows an example of the schematic. The green diamond is the first terminal and is 1000' from the splitter in the FDSH, which has 1000' of feeder fiber back to the OLT port. The terminal number is shown to the right of the symbol and the RUS unit right below.</t>
  </si>
  <si>
    <t>The input power level (as measured with a power meter) is projected to read around -10.16dBm. The output level for the drop ports is calculated to be -17.40dBm.</t>
  </si>
  <si>
    <t>The level at the ONT input should be around -17.76dBm, which could vary based on the Maximum Drop Length setting.</t>
  </si>
  <si>
    <r>
      <t xml:space="preserve">Remember that these are </t>
    </r>
    <r>
      <rPr>
        <u/>
        <sz val="11"/>
        <color theme="1"/>
        <rFont val="Calibri"/>
        <family val="2"/>
        <scheme val="minor"/>
      </rPr>
      <t>calculated</t>
    </r>
    <r>
      <rPr>
        <sz val="11"/>
        <color theme="1"/>
        <rFont val="Calibri"/>
        <family val="2"/>
        <scheme val="minor"/>
      </rPr>
      <t xml:space="preserve"> values based on </t>
    </r>
    <r>
      <rPr>
        <u/>
        <sz val="11"/>
        <color theme="1"/>
        <rFont val="Calibri"/>
        <family val="2"/>
        <scheme val="minor"/>
      </rPr>
      <t>expected</t>
    </r>
    <r>
      <rPr>
        <sz val="11"/>
        <color theme="1"/>
        <rFont val="Calibri"/>
        <family val="2"/>
        <scheme val="minor"/>
      </rPr>
      <t xml:space="preserve"> optical insertion loss of the individual components. You can expect actual readings from the field to be</t>
    </r>
  </si>
  <si>
    <t>close, if not better, than what is represented in the schematic.</t>
  </si>
  <si>
    <t>BOM</t>
  </si>
  <si>
    <t>A Bill of Materials is generated on a new tab by clicking the Create BOM button on the Splitter 1 tab.</t>
  </si>
  <si>
    <t>Note that if a Type value is left blank, then the BOM assumes that an existing housing will be used for the USBM.</t>
  </si>
  <si>
    <t>Terminal List</t>
  </si>
  <si>
    <t xml:space="preserve">The splitter 1 tab has an additional button that, when pressed, will generate a complete list of terminals from all splitter tabs in the workbook and ask if you'd like to auto populate a blank open LROUTE form. </t>
  </si>
  <si>
    <t xml:space="preserve">*Ensure your blank LROUTE is named "L-ROUTE" with your sheet named "LROUTE". You may download the correct L-ROUTE form here: </t>
  </si>
  <si>
    <t>L-Route.xlsx</t>
  </si>
  <si>
    <t>Notes</t>
  </si>
  <si>
    <t>There are several choices for connectivity of the distribution cable plant. This becomes especially important where the ODN starts at the end of a preceding ODN.</t>
  </si>
  <si>
    <t>* Direct Connectivity should only be used where a factory installed connector is plugged directly into and out of a USBM.</t>
  </si>
  <si>
    <t xml:space="preserve">Average insertion loss is the default. This can be changed to Maximum in cell J5 on the Splitter 1 tab. </t>
  </si>
  <si>
    <t>OLT Launch Power</t>
  </si>
  <si>
    <t>GPON</t>
  </si>
  <si>
    <t>Combo</t>
  </si>
  <si>
    <t>XGS-PON</t>
  </si>
  <si>
    <t>Actual</t>
  </si>
  <si>
    <t>ONT receive</t>
  </si>
  <si>
    <t xml:space="preserve">Sensitivity = </t>
  </si>
  <si>
    <t>Worst</t>
  </si>
  <si>
    <t>Typical</t>
  </si>
  <si>
    <t>Best</t>
  </si>
  <si>
    <t>Fusion Splice loss</t>
  </si>
  <si>
    <t>Connector loss</t>
  </si>
  <si>
    <t>Fiber loss per ft</t>
  </si>
  <si>
    <t>1x2 Splitter Loss</t>
  </si>
  <si>
    <t>1x4 Splitter Loss</t>
  </si>
  <si>
    <t>1x8 Splitter Loss</t>
  </si>
  <si>
    <t>Direct</t>
  </si>
  <si>
    <t>Spliced</t>
  </si>
  <si>
    <t>APC</t>
  </si>
  <si>
    <t>MPO</t>
  </si>
  <si>
    <t>MPT</t>
  </si>
  <si>
    <t>UPC</t>
  </si>
  <si>
    <t>Lead Splitter Loss</t>
  </si>
  <si>
    <t>1x4</t>
  </si>
  <si>
    <t>1x8</t>
  </si>
  <si>
    <t>1x16</t>
  </si>
  <si>
    <t>1x32</t>
  </si>
  <si>
    <t>1x64</t>
  </si>
  <si>
    <t>For &lt; 1x32</t>
  </si>
  <si>
    <t>For 1x32</t>
  </si>
  <si>
    <t>Splitter Choices</t>
  </si>
  <si>
    <t>Lookup</t>
  </si>
  <si>
    <t>Type</t>
  </si>
  <si>
    <t>RUS Unit</t>
  </si>
  <si>
    <t>Material</t>
  </si>
  <si>
    <t>Ped</t>
  </si>
  <si>
    <t>PED</t>
  </si>
  <si>
    <t>Pole</t>
  </si>
  <si>
    <t>Optima</t>
  </si>
  <si>
    <t>Existing</t>
  </si>
  <si>
    <t>Handhole</t>
  </si>
  <si>
    <t>BHF(14x19x12)P</t>
  </si>
  <si>
    <t xml:space="preserve">Key = </t>
  </si>
  <si>
    <t>Drop Ports</t>
  </si>
  <si>
    <t xml:space="preserve">Insertion Loss = </t>
  </si>
  <si>
    <t>Drop</t>
  </si>
  <si>
    <t>loss</t>
  </si>
  <si>
    <t>Key</t>
  </si>
  <si>
    <t>Vendor Part</t>
  </si>
  <si>
    <t>Thru</t>
  </si>
  <si>
    <t>Drop Port</t>
  </si>
  <si>
    <t>Vendor</t>
  </si>
  <si>
    <t>Cost</t>
  </si>
  <si>
    <t>Unit</t>
  </si>
  <si>
    <t>Average</t>
  </si>
  <si>
    <t>Max</t>
  </si>
  <si>
    <t>Part</t>
  </si>
  <si>
    <t>Splice/Connector</t>
  </si>
  <si>
    <t>N/A</t>
  </si>
  <si>
    <t>PLO-U-102-SCA-SCA</t>
  </si>
  <si>
    <t>USBM</t>
  </si>
  <si>
    <t>PlugIn</t>
  </si>
  <si>
    <t>USBM1X2</t>
  </si>
  <si>
    <t>PLO-U-104-SCA-SCA</t>
  </si>
  <si>
    <t>USBM1X4</t>
  </si>
  <si>
    <t>PLO-U-108-SCA-SCA</t>
  </si>
  <si>
    <t>USBM1X8</t>
  </si>
  <si>
    <t>Loss</t>
  </si>
  <si>
    <t>Connector</t>
  </si>
  <si>
    <t>Fusion</t>
  </si>
  <si>
    <t>Splitter Loss</t>
  </si>
  <si>
    <t>ODN Diagrammatic</t>
  </si>
  <si>
    <t>PON Type</t>
  </si>
  <si>
    <t>Site Output
Power (dB)</t>
  </si>
  <si>
    <t>Number of FDPs (Patch
Panels)</t>
  </si>
  <si>
    <t>Number of F1 Splices</t>
  </si>
  <si>
    <t>F1 Footage</t>
  </si>
  <si>
    <t>Hub Lead Splitter</t>
  </si>
  <si>
    <t>Safety
Margin</t>
  </si>
  <si>
    <t>Net Optical
Power at
FDSH
(Post-Splitter)</t>
  </si>
  <si>
    <t>Legend</t>
  </si>
  <si>
    <t xml:space="preserve">Project: </t>
  </si>
  <si>
    <t>Required Field</t>
  </si>
  <si>
    <t>Project Notes:</t>
  </si>
  <si>
    <t>Dist. Cable
Connectivity</t>
  </si>
  <si>
    <t>Quantity Dist.
Connectors</t>
  </si>
  <si>
    <t>Max Drop
Footage</t>
  </si>
  <si>
    <t>Number of
Drop Connectors</t>
  </si>
  <si>
    <t>Optional</t>
  </si>
  <si>
    <t>Insertion Loss</t>
  </si>
  <si>
    <t>Calculated</t>
  </si>
  <si>
    <t>Fiber Feet</t>
  </si>
  <si>
    <t>Ports</t>
  </si>
  <si>
    <t>Version</t>
  </si>
  <si>
    <t xml:space="preserve">Totals: </t>
  </si>
  <si>
    <t>Accum
Fiber loss</t>
  </si>
  <si>
    <t>Accum
Conn loss</t>
  </si>
  <si>
    <t>Sequence</t>
  </si>
  <si>
    <t>Span Feet</t>
  </si>
  <si>
    <t>Route/Lead</t>
  </si>
  <si>
    <t>Terminal</t>
  </si>
  <si>
    <t>Terminal Type</t>
  </si>
  <si>
    <t>Drop
Ports</t>
  </si>
  <si>
    <t>Branch?
(Y/N)</t>
  </si>
  <si>
    <t>Terminal
Output</t>
  </si>
  <si>
    <t>ONT Level</t>
  </si>
  <si>
    <t>Vendor Part #</t>
  </si>
  <si>
    <t>Terminal Count
(ZF)</t>
  </si>
  <si>
    <t>Cable Count</t>
  </si>
  <si>
    <t>Input Pwr</t>
  </si>
  <si>
    <t>Thru Calc</t>
  </si>
  <si>
    <t>Out Calc</t>
  </si>
  <si>
    <t>Quantity F1
Connectors</t>
  </si>
  <si>
    <t>SEFH10316</t>
  </si>
  <si>
    <t>1097</t>
  </si>
  <si>
    <t>124</t>
  </si>
  <si>
    <t>@125</t>
  </si>
  <si>
    <t>WNDFL,72</t>
  </si>
  <si>
    <t>ZF314,1-4</t>
  </si>
  <si>
    <t>628</t>
  </si>
  <si>
    <t>1203</t>
  </si>
  <si>
    <t>@001</t>
  </si>
  <si>
    <t>@004</t>
  </si>
  <si>
    <t>@006</t>
  </si>
  <si>
    <t>1603</t>
  </si>
  <si>
    <t>@003</t>
  </si>
  <si>
    <t>@008</t>
  </si>
  <si>
    <t>@010</t>
  </si>
  <si>
    <t>@312</t>
  </si>
  <si>
    <t>@015</t>
  </si>
  <si>
    <t>@013</t>
  </si>
  <si>
    <t>@017</t>
  </si>
  <si>
    <t>@019</t>
  </si>
  <si>
    <t>1272</t>
  </si>
  <si>
    <t>301</t>
  </si>
  <si>
    <t>Branch 1</t>
  </si>
  <si>
    <t xml:space="preserve">Optical Power: </t>
  </si>
  <si>
    <t>^ Back to Source ^</t>
  </si>
  <si>
    <t>1413</t>
  </si>
  <si>
    <t>@002</t>
  </si>
  <si>
    <t>004</t>
  </si>
  <si>
    <t>Branch 2</t>
  </si>
  <si>
    <t>@005</t>
  </si>
  <si>
    <t>1481</t>
  </si>
  <si>
    <t>@504</t>
  </si>
  <si>
    <t>Ports:</t>
  </si>
  <si>
    <t>@129</t>
  </si>
  <si>
    <t>@131</t>
  </si>
  <si>
    <t>1202</t>
  </si>
  <si>
    <t>@509</t>
  </si>
  <si>
    <t>@511</t>
  </si>
  <si>
    <t>@135</t>
  </si>
  <si>
    <t>137</t>
  </si>
  <si>
    <t>@139</t>
  </si>
  <si>
    <t>@142</t>
  </si>
  <si>
    <t>@146</t>
  </si>
  <si>
    <t>019</t>
  </si>
  <si>
    <t>1496</t>
  </si>
  <si>
    <t>Branch 3</t>
  </si>
  <si>
    <t>@021</t>
  </si>
  <si>
    <t>Branch 4</t>
  </si>
  <si>
    <t>1312</t>
  </si>
  <si>
    <t>@027</t>
  </si>
  <si>
    <t>1548</t>
  </si>
  <si>
    <t>024</t>
  </si>
  <si>
    <t>@020</t>
  </si>
  <si>
    <t>1113</t>
  </si>
  <si>
    <t>@007</t>
  </si>
  <si>
    <t>@011</t>
  </si>
  <si>
    <t>010</t>
  </si>
  <si>
    <t>@512</t>
  </si>
  <si>
    <t>@155</t>
  </si>
  <si>
    <t>@160</t>
  </si>
  <si>
    <t>@164</t>
  </si>
  <si>
    <t>1096</t>
  </si>
  <si>
    <t>012</t>
  </si>
  <si>
    <t>1124</t>
  </si>
  <si>
    <t>@168</t>
  </si>
  <si>
    <t>@674</t>
  </si>
  <si>
    <t>@181</t>
  </si>
  <si>
    <t>164</t>
  </si>
  <si>
    <t>@014</t>
  </si>
  <si>
    <t>181</t>
  </si>
  <si>
    <t>1477</t>
  </si>
  <si>
    <t>@185</t>
  </si>
  <si>
    <t>@205</t>
  </si>
  <si>
    <t>@208</t>
  </si>
  <si>
    <t>@211</t>
  </si>
  <si>
    <t>WNDFL,71</t>
  </si>
  <si>
    <t>WNDFL,70</t>
  </si>
  <si>
    <t>WNDFL,69</t>
  </si>
  <si>
    <t>WNDFL,68</t>
  </si>
  <si>
    <t>WNDFL,67</t>
  </si>
  <si>
    <t>WNDFL,66</t>
  </si>
  <si>
    <t>WNDFL,65</t>
  </si>
  <si>
    <t>WNDFL,64</t>
  </si>
  <si>
    <t>WNDFL,63</t>
  </si>
  <si>
    <t>WNDFL,62</t>
  </si>
  <si>
    <t>WNDFL,61</t>
  </si>
  <si>
    <t>ZF314,5-12</t>
  </si>
  <si>
    <t>ZF314,13-20</t>
  </si>
  <si>
    <t>ZF314,21-24</t>
  </si>
  <si>
    <t>ZF314,25-28</t>
  </si>
  <si>
    <t>ZF314,29-32</t>
  </si>
  <si>
    <t>ZF314,33-36</t>
  </si>
  <si>
    <t>ZF314,37-44</t>
  </si>
  <si>
    <t>ZF314,45-52</t>
  </si>
  <si>
    <t>ZF314,53-56</t>
  </si>
  <si>
    <t>ZF314,57-64</t>
  </si>
  <si>
    <t>ZF314,65-68</t>
  </si>
  <si>
    <t>ZF314,69-76</t>
  </si>
  <si>
    <t>WNDFL,60</t>
  </si>
  <si>
    <t>ZF314,81-84</t>
  </si>
  <si>
    <t>WNDFL,58</t>
  </si>
  <si>
    <t>ZF314,77-80</t>
  </si>
  <si>
    <t>WNDFL,59</t>
  </si>
  <si>
    <t>ZF314,85-88</t>
  </si>
  <si>
    <t>WNDFL,57</t>
  </si>
  <si>
    <t>ZF315,5-8</t>
  </si>
  <si>
    <t>WNDFL,54</t>
  </si>
  <si>
    <t>ZF315,9-16</t>
  </si>
  <si>
    <t>WNDFL,53</t>
  </si>
  <si>
    <t>ZF315,21-24</t>
  </si>
  <si>
    <t>WNDFL,51</t>
  </si>
  <si>
    <t>ZF315,25-28</t>
  </si>
  <si>
    <t>WNDFL,50</t>
  </si>
  <si>
    <t>ZF315,29-32</t>
  </si>
  <si>
    <t>WNDFL,48</t>
  </si>
  <si>
    <t>ZF315,33-40</t>
  </si>
  <si>
    <t>WNDFL,47</t>
  </si>
  <si>
    <t>ZF315,41-48</t>
  </si>
  <si>
    <t>WNDFL,46</t>
  </si>
  <si>
    <t>ZF315,49-52</t>
  </si>
  <si>
    <t>WNDFL,45</t>
  </si>
  <si>
    <t>ZF315,53-56</t>
  </si>
  <si>
    <t>WNDFL,44</t>
  </si>
  <si>
    <t>ZF315,57-60</t>
  </si>
  <si>
    <t>WNDFL,43</t>
  </si>
  <si>
    <t>ZF315,61-68</t>
  </si>
  <si>
    <t>WNDFL,42</t>
  </si>
  <si>
    <t>ZF315,69-72</t>
  </si>
  <si>
    <t>WNDFL,41</t>
  </si>
  <si>
    <t>ZF315,73-76</t>
  </si>
  <si>
    <t>WNDFL,40</t>
  </si>
  <si>
    <t>ZF315,77-84</t>
  </si>
  <si>
    <t>WNDFL,39</t>
  </si>
  <si>
    <t>ZF315,1-4</t>
  </si>
  <si>
    <t>WNDFL,56</t>
  </si>
  <si>
    <t>ZF315,17-20</t>
  </si>
  <si>
    <t>WNDFL,52</t>
  </si>
  <si>
    <t>ZF316,29-32</t>
  </si>
  <si>
    <t>WNDFL,29</t>
  </si>
  <si>
    <t>ZF316,33-36</t>
  </si>
  <si>
    <t>WNDFL,28</t>
  </si>
  <si>
    <t>ZF316,37-40</t>
  </si>
  <si>
    <t>WNDFL,27</t>
  </si>
  <si>
    <t>ZF316,41-44</t>
  </si>
  <si>
    <t>WNDFL,26</t>
  </si>
  <si>
    <t>ZF316,45-48</t>
  </si>
  <si>
    <t>WNDFL,25</t>
  </si>
  <si>
    <t>ZF316,21-28</t>
  </si>
  <si>
    <t>WNDFL,30</t>
  </si>
  <si>
    <t>ZF316,1-4</t>
  </si>
  <si>
    <t>WNDFL,36</t>
  </si>
  <si>
    <t>ZF316,5-8</t>
  </si>
  <si>
    <t>WNDFL,35</t>
  </si>
  <si>
    <t>ZF316,9-12</t>
  </si>
  <si>
    <t>WNDFL,34</t>
  </si>
  <si>
    <t>ZF316,13-16</t>
  </si>
  <si>
    <t>WNDFL,33</t>
  </si>
  <si>
    <t>ZF316,17-20</t>
  </si>
  <si>
    <t>WNDFL,32</t>
  </si>
  <si>
    <t>ZF316,49-52</t>
  </si>
  <si>
    <t>WNDFL,24</t>
  </si>
  <si>
    <t>ZF316,53-56</t>
  </si>
  <si>
    <t>WNDFL,23</t>
  </si>
  <si>
    <t>ZF316,57-64</t>
  </si>
  <si>
    <t>WNDFL,22</t>
  </si>
  <si>
    <t>ZF316,65-68</t>
  </si>
  <si>
    <t>WNDFL,21</t>
  </si>
  <si>
    <t>ZF316,69-72</t>
  </si>
  <si>
    <t>WNDFL,20</t>
  </si>
  <si>
    <t>ZF317,9-12</t>
  </si>
  <si>
    <t>WNDFL,12</t>
  </si>
  <si>
    <t>ZF317,13-16</t>
  </si>
  <si>
    <t>WNDFL,11</t>
  </si>
  <si>
    <t>ZF317,17-20</t>
  </si>
  <si>
    <t>WNDFL,10</t>
  </si>
  <si>
    <t>ZF317,21-24</t>
  </si>
  <si>
    <t>WNDFL,9</t>
  </si>
  <si>
    <t>ZF317,25-28</t>
  </si>
  <si>
    <t>WNDFL,8</t>
  </si>
  <si>
    <t>ZF317,1-8</t>
  </si>
  <si>
    <t>WNDFL,19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</si>
</sst>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0"/>
    <numFmt numFmtId="165" formatCode="0.000"/>
    <numFmt numFmtId="166" formatCode="_-&quot;$&quot;* #,##0.00_-;\-&quot;$&quot;* #,##0.00_-;_-&quot;$&quot;* &quot;-&quot;??_-;_-@_-"/>
    <numFmt numFmtId="167" formatCode="0.0"/>
  </numFmts>
  <fonts count="2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u/>
      <sz val="9"/>
      <color indexed="81"/>
      <name val="Tahoma"/>
      <family val="2"/>
    </font>
    <font>
      <b/>
      <sz val="11"/>
      <color rgb="FFFF0000"/>
      <name val="Calibri"/>
      <family val="2"/>
      <scheme val="minor"/>
    </font>
    <font>
      <sz val="10"/>
      <name val="Arial"/>
      <family val="2"/>
    </font>
    <font>
      <u/>
      <sz val="11"/>
      <color theme="1"/>
      <name val="Calibri"/>
      <family val="2"/>
      <scheme val="minor"/>
    </font>
    <font>
      <sz val="8"/>
      <name val="Calibri"/>
      <family val="2"/>
      <scheme val="minor"/>
    </font>
    <font>
      <u/>
      <sz val="11"/>
      <color theme="10"/>
      <name val="Calibri"/>
      <family val="2"/>
      <scheme val="minor"/>
    </font>
    <font>
      <sz val="11"/>
      <name val="Calibri"/>
      <family val="2"/>
      <scheme val="minor"/>
    </font>
    <font>
      <b/>
      <i/>
      <sz val="12"/>
      <color theme="1"/>
      <name val="Calibri"/>
      <family val="2"/>
      <scheme val="minor"/>
    </font>
    <font>
      <sz val="12"/>
      <color indexed="8"/>
      <name val="Microsoft YaHei"/>
      <family val="2"/>
      <charset val="136"/>
    </font>
    <font>
      <sz val="12"/>
      <color indexed="8"/>
      <name val="Calibri"/>
      <family val="2"/>
    </font>
    <font>
      <b/>
      <sz val="16"/>
      <color rgb="FFFF0000"/>
      <name val="Calibri"/>
      <family val="2"/>
      <scheme val="minor"/>
    </font>
    <font>
      <sz val="16"/>
      <color theme="1"/>
      <name val="Calibri"/>
      <family val="2"/>
      <scheme val="minor"/>
    </font>
    <font>
      <b/>
      <sz val="16"/>
      <color theme="1"/>
      <name val="Calibri"/>
      <family val="2"/>
      <scheme val="minor"/>
    </font>
    <font>
      <sz val="12"/>
      <color indexed="8"/>
      <name val="Microsoft YaHei"/>
      <family val="2"/>
    </font>
    <font>
      <sz val="11"/>
      <color rgb="FFFF0000"/>
      <name val="Calibri"/>
      <family val="2"/>
      <scheme val="minor"/>
    </font>
    <font>
      <sz val="11"/>
      <color theme="0" tint="-0.14999847407452621"/>
      <name val="Calibri"/>
      <family val="2"/>
      <scheme val="minor"/>
    </font>
    <font>
      <b/>
      <u/>
      <sz val="11"/>
      <color theme="1"/>
      <name val="Calibri"/>
      <family val="2"/>
      <scheme val="minor"/>
    </font>
    <font>
      <b/>
      <u/>
      <sz val="11"/>
      <color rgb="FFFF0000"/>
      <name val="Calibri"/>
      <family val="2"/>
      <scheme val="minor"/>
    </font>
    <font>
      <b/>
      <sz val="16"/>
      <color rgb="FF0070C0"/>
      <name val="Calibri"/>
      <family val="2"/>
      <scheme val="minor"/>
    </font>
    <font>
      <sz val="14"/>
      <color theme="1"/>
      <name val="Calibri"/>
      <family val="2"/>
      <scheme val="minor"/>
    </font>
    <font>
      <b/>
      <sz val="14"/>
      <color rgb="FFFF0000"/>
      <name val="Calibri"/>
      <family val="2"/>
      <scheme val="minor"/>
    </font>
    <font>
      <b/>
      <sz val="14"/>
      <color rgb="FF0070C0"/>
      <name val="Calibri"/>
      <family val="2"/>
      <scheme val="minor"/>
    </font>
  </fonts>
  <fills count="9">
    <fill>
      <patternFill patternType="none"/>
    </fill>
    <fill>
      <patternFill patternType="gray125"/>
    </fill>
    <fill>
      <patternFill patternType="solid">
        <fgColor theme="8" tint="0.79998168889431442"/>
        <bgColor indexed="64"/>
      </patternFill>
    </fill>
    <fill>
      <patternFill patternType="solid">
        <fgColor rgb="FFFFFF99"/>
        <bgColor indexed="64"/>
      </patternFill>
    </fill>
    <fill>
      <patternFill patternType="solid">
        <fgColor rgb="FFFFFF00"/>
        <bgColor indexed="64"/>
      </patternFill>
    </fill>
    <fill>
      <patternFill patternType="solid">
        <fgColor theme="8" tint="0.59999389629810485"/>
        <bgColor indexed="64"/>
      </patternFill>
    </fill>
    <fill>
      <patternFill patternType="solid">
        <fgColor rgb="FFDDEBF7"/>
        <bgColor indexed="64"/>
      </patternFill>
    </fill>
    <fill>
      <patternFill patternType="solid">
        <fgColor theme="7" tint="0.79998168889431442"/>
        <bgColor indexed="64"/>
      </patternFill>
    </fill>
    <fill>
      <patternFill patternType="solid">
        <fgColor rgb="FFFFF2CC"/>
        <bgColor indexed="64"/>
      </patternFill>
    </fill>
  </fills>
  <borders count="18">
    <border>
      <left/>
      <right/>
      <top/>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style="hair">
        <color auto="1"/>
      </left>
      <right style="hair">
        <color auto="1"/>
      </right>
      <top/>
      <bottom style="hair">
        <color auto="1"/>
      </bottom>
      <diagonal/>
    </border>
    <border>
      <left style="thin">
        <color indexed="64"/>
      </left>
      <right style="thin">
        <color indexed="64"/>
      </right>
      <top style="thin">
        <color indexed="64"/>
      </top>
      <bottom style="thin">
        <color indexed="64"/>
      </bottom>
      <diagonal/>
    </border>
    <border>
      <left/>
      <right/>
      <top style="hair">
        <color auto="1"/>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style="hair">
        <color auto="1"/>
      </top>
      <bottom/>
      <diagonal/>
    </border>
    <border>
      <left/>
      <right style="thin">
        <color indexed="64"/>
      </right>
      <top style="hair">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auto="1"/>
      </bottom>
      <diagonal/>
    </border>
    <border>
      <left/>
      <right/>
      <top style="thin">
        <color indexed="64"/>
      </top>
      <bottom style="hair">
        <color auto="1"/>
      </bottom>
      <diagonal/>
    </border>
    <border>
      <left/>
      <right style="hair">
        <color auto="1"/>
      </right>
      <top style="thin">
        <color indexed="64"/>
      </top>
      <bottom style="hair">
        <color auto="1"/>
      </bottom>
      <diagonal/>
    </border>
  </borders>
  <cellStyleXfs count="9">
    <xf numFmtId="0" fontId="0" fillId="0" borderId="0"/>
    <xf numFmtId="0" fontId="6" fillId="0" borderId="0"/>
    <xf numFmtId="0" fontId="6" fillId="0" borderId="0"/>
    <xf numFmtId="0" fontId="9" fillId="0" borderId="0" applyNumberFormat="0" applyFill="0" applyBorder="0" applyAlignment="0" applyProtection="0"/>
    <xf numFmtId="0" fontId="12" fillId="0" borderId="0"/>
    <xf numFmtId="0" fontId="13" fillId="0" borderId="0"/>
    <xf numFmtId="0" fontId="17" fillId="0" borderId="0"/>
    <xf numFmtId="0" fontId="6" fillId="0" borderId="0"/>
    <xf numFmtId="166" fontId="6" fillId="0" borderId="0" applyFill="0" applyBorder="0" applyAlignment="0" applyProtection="0"/>
  </cellStyleXfs>
  <cellXfs count="97">
    <xf numFmtId="0" fontId="0" fillId="0" borderId="0" xfId="0"/>
    <xf numFmtId="0" fontId="0" fillId="0" borderId="0" xfId="0" applyAlignment="1">
      <alignment horizontal="right"/>
    </xf>
    <xf numFmtId="2" fontId="0" fillId="2" borderId="2" xfId="0" applyNumberFormat="1" applyFill="1" applyBorder="1" applyAlignment="1" applyProtection="1">
      <alignment horizontal="center" vertical="center"/>
      <protection locked="0"/>
    </xf>
    <xf numFmtId="164" fontId="0" fillId="2" borderId="2" xfId="0" applyNumberFormat="1" applyFill="1" applyBorder="1" applyAlignment="1" applyProtection="1">
      <alignment horizontal="center" vertical="center"/>
      <protection locked="0"/>
    </xf>
    <xf numFmtId="0" fontId="0" fillId="0" borderId="0" xfId="0" applyAlignment="1">
      <alignment horizontal="center" vertical="center"/>
    </xf>
    <xf numFmtId="0" fontId="0" fillId="0" borderId="0" xfId="0" applyAlignment="1">
      <alignment horizontal="right" vertical="center"/>
    </xf>
    <xf numFmtId="2" fontId="0" fillId="3" borderId="2" xfId="0" applyNumberFormat="1" applyFill="1" applyBorder="1" applyAlignment="1">
      <alignment horizontal="center" vertical="center"/>
    </xf>
    <xf numFmtId="0" fontId="0" fillId="0" borderId="0" xfId="0" applyAlignment="1">
      <alignment horizontal="center"/>
    </xf>
    <xf numFmtId="2" fontId="0" fillId="0" borderId="0" xfId="0" applyNumberFormat="1" applyAlignment="1">
      <alignment horizontal="center"/>
    </xf>
    <xf numFmtId="2" fontId="0" fillId="0" borderId="0" xfId="0" applyNumberFormat="1"/>
    <xf numFmtId="0" fontId="2" fillId="0" borderId="0" xfId="0" applyFont="1"/>
    <xf numFmtId="2" fontId="5" fillId="4" borderId="0" xfId="0" applyNumberFormat="1" applyFont="1" applyFill="1"/>
    <xf numFmtId="0" fontId="0" fillId="3" borderId="2" xfId="0" applyFill="1" applyBorder="1" applyAlignment="1" applyProtection="1">
      <alignment horizontal="center" vertical="center"/>
      <protection hidden="1"/>
    </xf>
    <xf numFmtId="1" fontId="0" fillId="6" borderId="2" xfId="0" applyNumberFormat="1" applyFill="1" applyBorder="1" applyAlignment="1" applyProtection="1">
      <alignment horizontal="center" vertical="center"/>
      <protection locked="0"/>
    </xf>
    <xf numFmtId="2" fontId="0" fillId="7" borderId="2" xfId="0" applyNumberFormat="1" applyFill="1" applyBorder="1" applyAlignment="1">
      <alignment horizontal="center"/>
    </xf>
    <xf numFmtId="0" fontId="0" fillId="0" borderId="0" xfId="0" applyAlignment="1">
      <alignment wrapText="1"/>
    </xf>
    <xf numFmtId="0" fontId="0" fillId="6" borderId="2" xfId="0" applyFill="1" applyBorder="1" applyProtection="1">
      <protection locked="0"/>
    </xf>
    <xf numFmtId="0" fontId="10" fillId="6" borderId="2" xfId="0" applyFont="1" applyFill="1" applyBorder="1" applyProtection="1">
      <protection locked="0"/>
    </xf>
    <xf numFmtId="0" fontId="10" fillId="6" borderId="2" xfId="3" applyFont="1" applyFill="1" applyBorder="1" applyProtection="1">
      <protection locked="0"/>
    </xf>
    <xf numFmtId="0" fontId="1" fillId="0" borderId="0" xfId="0" applyFont="1" applyAlignment="1">
      <alignment horizontal="center" wrapText="1"/>
    </xf>
    <xf numFmtId="0" fontId="1" fillId="0" borderId="0" xfId="0" applyFont="1" applyAlignment="1">
      <alignment horizontal="center"/>
    </xf>
    <xf numFmtId="3" fontId="1" fillId="0" borderId="0" xfId="0" applyNumberFormat="1" applyFont="1" applyAlignment="1">
      <alignment horizontal="center"/>
    </xf>
    <xf numFmtId="3" fontId="0" fillId="0" borderId="0" xfId="0" applyNumberFormat="1" applyAlignment="1">
      <alignment horizontal="center"/>
    </xf>
    <xf numFmtId="164" fontId="0" fillId="2" borderId="0" xfId="0" applyNumberFormat="1" applyFill="1" applyAlignment="1" applyProtection="1">
      <alignment horizontal="center" vertical="center"/>
      <protection locked="0"/>
    </xf>
    <xf numFmtId="0" fontId="1" fillId="0" borderId="5" xfId="0" applyFont="1" applyBorder="1" applyAlignment="1">
      <alignment horizontal="center" wrapText="1"/>
    </xf>
    <xf numFmtId="1" fontId="0" fillId="2" borderId="4" xfId="0" applyNumberFormat="1" applyFill="1" applyBorder="1" applyAlignment="1" applyProtection="1">
      <alignment horizontal="center" vertical="center"/>
      <protection locked="0"/>
    </xf>
    <xf numFmtId="0" fontId="0" fillId="6" borderId="4" xfId="0" applyFill="1" applyBorder="1" applyAlignment="1" applyProtection="1">
      <alignment horizontal="center" vertical="center"/>
      <protection locked="0"/>
    </xf>
    <xf numFmtId="2" fontId="0" fillId="0" borderId="5" xfId="0" applyNumberFormat="1" applyBorder="1" applyAlignment="1">
      <alignment horizontal="center" vertical="center" wrapText="1"/>
    </xf>
    <xf numFmtId="2" fontId="0" fillId="3" borderId="4" xfId="0" applyNumberFormat="1" applyFill="1" applyBorder="1" applyAlignment="1" applyProtection="1">
      <alignment horizontal="center" vertical="center"/>
      <protection hidden="1"/>
    </xf>
    <xf numFmtId="0" fontId="1" fillId="0" borderId="5" xfId="0" applyFont="1" applyBorder="1" applyAlignment="1">
      <alignment horizontal="right" vertical="center"/>
    </xf>
    <xf numFmtId="3" fontId="0" fillId="3" borderId="4" xfId="0" applyNumberFormat="1" applyFill="1" applyBorder="1" applyAlignment="1" applyProtection="1">
      <alignment horizontal="center" vertical="center"/>
      <protection hidden="1"/>
    </xf>
    <xf numFmtId="1" fontId="0" fillId="3" borderId="4" xfId="0" applyNumberFormat="1" applyFill="1" applyBorder="1" applyAlignment="1" applyProtection="1">
      <alignment horizontal="center" vertical="center"/>
      <protection hidden="1"/>
    </xf>
    <xf numFmtId="2" fontId="0" fillId="2" borderId="3" xfId="0" applyNumberFormat="1" applyFill="1" applyBorder="1" applyAlignment="1" applyProtection="1">
      <alignment horizontal="center" vertical="center"/>
      <protection locked="0"/>
    </xf>
    <xf numFmtId="0" fontId="0" fillId="0" borderId="2" xfId="0" applyBorder="1" applyProtection="1">
      <protection locked="0"/>
    </xf>
    <xf numFmtId="3" fontId="0" fillId="6" borderId="1" xfId="0" applyNumberFormat="1" applyFill="1" applyBorder="1" applyAlignment="1" applyProtection="1">
      <alignment horizontal="center" vertical="center"/>
      <protection locked="0"/>
    </xf>
    <xf numFmtId="0" fontId="0" fillId="0" borderId="5" xfId="0" applyBorder="1" applyAlignment="1">
      <alignment horizontal="center"/>
    </xf>
    <xf numFmtId="2" fontId="0" fillId="0" borderId="0" xfId="0" applyNumberFormat="1" applyAlignment="1">
      <alignment horizontal="center" wrapText="1"/>
    </xf>
    <xf numFmtId="0" fontId="0" fillId="6" borderId="2" xfId="0" applyFill="1" applyBorder="1" applyAlignment="1">
      <alignment horizontal="center"/>
    </xf>
    <xf numFmtId="2" fontId="0" fillId="3" borderId="3" xfId="0" applyNumberFormat="1" applyFill="1" applyBorder="1" applyAlignment="1" applyProtection="1">
      <alignment horizontal="center" vertical="center"/>
      <protection locked="0"/>
    </xf>
    <xf numFmtId="0" fontId="1" fillId="0" borderId="0" xfId="0" applyFont="1" applyAlignment="1">
      <alignment horizontal="right" wrapText="1"/>
    </xf>
    <xf numFmtId="0" fontId="0" fillId="8" borderId="2" xfId="0" applyFill="1" applyBorder="1" applyAlignment="1" applyProtection="1">
      <alignment horizontal="center"/>
      <protection locked="0"/>
    </xf>
    <xf numFmtId="3" fontId="0" fillId="2" borderId="3" xfId="0" applyNumberFormat="1" applyFill="1" applyBorder="1" applyAlignment="1" applyProtection="1">
      <alignment horizontal="center" vertical="center"/>
      <protection locked="0"/>
    </xf>
    <xf numFmtId="1" fontId="0" fillId="2" borderId="3" xfId="0" applyNumberFormat="1" applyFill="1" applyBorder="1" applyAlignment="1" applyProtection="1">
      <alignment horizontal="center" vertical="center"/>
      <protection locked="0"/>
    </xf>
    <xf numFmtId="0" fontId="0" fillId="6" borderId="4" xfId="0" applyFill="1" applyBorder="1" applyAlignment="1" applyProtection="1">
      <alignment horizontal="center"/>
      <protection locked="0"/>
    </xf>
    <xf numFmtId="0" fontId="0" fillId="0" borderId="5" xfId="0" applyBorder="1" applyAlignment="1">
      <alignment horizontal="center" vertical="center"/>
    </xf>
    <xf numFmtId="2" fontId="1" fillId="0" borderId="5" xfId="0" applyNumberFormat="1" applyFont="1" applyBorder="1" applyAlignment="1">
      <alignment horizontal="center" vertical="center"/>
    </xf>
    <xf numFmtId="3" fontId="1" fillId="0" borderId="9" xfId="0" applyNumberFormat="1" applyFont="1" applyBorder="1" applyAlignment="1">
      <alignment horizontal="center" vertical="center" wrapText="1"/>
    </xf>
    <xf numFmtId="0" fontId="1" fillId="0" borderId="9" xfId="0" applyFont="1" applyBorder="1" applyAlignment="1">
      <alignment horizontal="center" vertical="center" wrapText="1"/>
    </xf>
    <xf numFmtId="0" fontId="18" fillId="6" borderId="4" xfId="0" applyFont="1" applyFill="1" applyBorder="1" applyAlignment="1" applyProtection="1">
      <alignment horizontal="center"/>
      <protection locked="0"/>
    </xf>
    <xf numFmtId="0" fontId="2" fillId="0" borderId="5" xfId="0" applyFont="1" applyBorder="1" applyAlignment="1">
      <alignment horizontal="center"/>
    </xf>
    <xf numFmtId="49" fontId="0" fillId="6" borderId="1" xfId="0" applyNumberFormat="1" applyFill="1" applyBorder="1" applyAlignment="1" applyProtection="1">
      <alignment horizontal="center" vertical="center"/>
      <protection locked="0"/>
    </xf>
    <xf numFmtId="49" fontId="10" fillId="6" borderId="2" xfId="3" applyNumberFormat="1" applyFont="1" applyFill="1" applyBorder="1" applyProtection="1">
      <protection locked="0"/>
    </xf>
    <xf numFmtId="49" fontId="10" fillId="6" borderId="2" xfId="0" applyNumberFormat="1" applyFont="1" applyFill="1" applyBorder="1" applyProtection="1">
      <protection locked="0"/>
    </xf>
    <xf numFmtId="49" fontId="0" fillId="6" borderId="2" xfId="0" applyNumberFormat="1" applyFill="1" applyBorder="1" applyProtection="1">
      <protection locked="0"/>
    </xf>
    <xf numFmtId="165" fontId="0" fillId="2" borderId="2" xfId="0" applyNumberFormat="1" applyFill="1" applyBorder="1" applyAlignment="1" applyProtection="1">
      <alignment horizontal="center" vertical="center"/>
      <protection locked="0"/>
    </xf>
    <xf numFmtId="0" fontId="9" fillId="8" borderId="2" xfId="3" applyFill="1" applyBorder="1" applyAlignment="1" applyProtection="1">
      <alignment horizontal="center"/>
      <protection locked="0"/>
    </xf>
    <xf numFmtId="0" fontId="10" fillId="8" borderId="2" xfId="3" applyFont="1" applyFill="1" applyBorder="1" applyAlignment="1" applyProtection="1">
      <alignment horizontal="center"/>
      <protection locked="0"/>
    </xf>
    <xf numFmtId="0" fontId="15" fillId="0" borderId="0" xfId="0" applyFont="1" applyAlignment="1">
      <alignment wrapText="1"/>
    </xf>
    <xf numFmtId="1" fontId="0" fillId="2" borderId="2" xfId="0" applyNumberFormat="1" applyFill="1" applyBorder="1" applyAlignment="1" applyProtection="1">
      <alignment horizontal="center" vertical="center"/>
      <protection locked="0"/>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2" fontId="0" fillId="0" borderId="0" xfId="0" applyNumberFormat="1" applyAlignment="1">
      <alignment horizontal="center" vertical="center" wrapText="1"/>
    </xf>
    <xf numFmtId="0" fontId="0" fillId="0" borderId="0" xfId="0" applyAlignment="1">
      <alignment horizontal="center" vertical="center" wrapText="1"/>
    </xf>
    <xf numFmtId="2" fontId="0" fillId="0" borderId="0" xfId="0" applyNumberFormat="1" applyProtection="1">
      <protection locked="0"/>
    </xf>
    <xf numFmtId="0" fontId="0" fillId="4" borderId="0" xfId="0" applyFill="1" applyProtection="1">
      <protection locked="0"/>
    </xf>
    <xf numFmtId="0" fontId="0" fillId="0" borderId="0" xfId="0" applyAlignment="1" applyProtection="1">
      <alignment horizontal="right"/>
      <protection locked="0"/>
    </xf>
    <xf numFmtId="165" fontId="0" fillId="0" borderId="0" xfId="0" applyNumberFormat="1" applyProtection="1">
      <protection locked="0"/>
    </xf>
    <xf numFmtId="0" fontId="0" fillId="5" borderId="0" xfId="0" applyFill="1" applyProtection="1">
      <protection locked="0"/>
    </xf>
    <xf numFmtId="167" fontId="0" fillId="0" borderId="0" xfId="0" applyNumberFormat="1" applyProtection="1">
      <protection locked="0"/>
    </xf>
    <xf numFmtId="0" fontId="19" fillId="0" borderId="0" xfId="0" applyFont="1" applyProtection="1">
      <protection locked="0"/>
    </xf>
    <xf numFmtId="0" fontId="22" fillId="0" borderId="0" xfId="0" applyFont="1" applyAlignment="1">
      <alignment wrapText="1"/>
    </xf>
    <xf numFmtId="0" fontId="23" fillId="0" borderId="0" xfId="0" applyFont="1" applyAlignment="1">
      <alignment wrapText="1"/>
    </xf>
    <xf numFmtId="0" fontId="9" fillId="0" borderId="0" xfId="3" applyAlignment="1">
      <alignment wrapText="1"/>
    </xf>
    <xf numFmtId="0" fontId="5" fillId="0" borderId="0" xfId="0" applyFont="1" applyAlignment="1">
      <alignment wrapText="1"/>
    </xf>
    <xf numFmtId="0" fontId="2" fillId="0" borderId="12" xfId="0" applyFont="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1" fillId="2" borderId="15" xfId="0" applyFont="1" applyFill="1" applyBorder="1" applyAlignment="1" applyProtection="1">
      <alignment horizontal="left" vertical="center"/>
      <protection locked="0"/>
    </xf>
    <xf numFmtId="0" fontId="1" fillId="2" borderId="16" xfId="0" applyFont="1" applyFill="1" applyBorder="1" applyAlignment="1" applyProtection="1">
      <alignment horizontal="left" vertical="center"/>
      <protection locked="0"/>
    </xf>
    <xf numFmtId="0" fontId="1" fillId="2" borderId="17" xfId="0" applyFont="1" applyFill="1" applyBorder="1" applyAlignment="1" applyProtection="1">
      <alignment horizontal="left" vertical="center"/>
      <protection locked="0"/>
    </xf>
    <xf numFmtId="0" fontId="0" fillId="2" borderId="10" xfId="0" applyFill="1" applyBorder="1" applyAlignment="1" applyProtection="1">
      <alignment horizontal="left" vertical="top" wrapText="1"/>
      <protection locked="0"/>
    </xf>
    <xf numFmtId="0" fontId="0" fillId="2" borderId="6" xfId="0" applyFill="1" applyBorder="1" applyAlignment="1" applyProtection="1">
      <alignment horizontal="left" vertical="top" wrapText="1"/>
      <protection locked="0"/>
    </xf>
    <xf numFmtId="0" fontId="0" fillId="2" borderId="11" xfId="0" applyFill="1" applyBorder="1" applyAlignment="1" applyProtection="1">
      <alignment horizontal="left" vertical="top" wrapText="1"/>
      <protection locked="0"/>
    </xf>
    <xf numFmtId="0" fontId="0" fillId="2" borderId="8" xfId="0" applyFill="1" applyBorder="1" applyAlignment="1" applyProtection="1">
      <alignment horizontal="left" vertical="top" wrapText="1"/>
      <protection locked="0"/>
    </xf>
    <xf numFmtId="0" fontId="0" fillId="2" borderId="0" xfId="0" applyFill="1" applyAlignment="1" applyProtection="1">
      <alignment horizontal="left" vertical="top" wrapText="1"/>
      <protection locked="0"/>
    </xf>
    <xf numFmtId="0" fontId="0" fillId="2" borderId="7" xfId="0" applyFill="1" applyBorder="1" applyAlignment="1" applyProtection="1">
      <alignment horizontal="left" vertical="top" wrapText="1"/>
      <protection locked="0"/>
    </xf>
    <xf numFmtId="0" fontId="1" fillId="0" borderId="5" xfId="0" applyFont="1" applyBorder="1" applyAlignment="1">
      <alignment horizontal="center" wrapText="1"/>
    </xf>
    <xf numFmtId="0" fontId="1" fillId="0" borderId="5" xfId="0" applyFont="1" applyBorder="1" applyAlignment="1">
      <alignment horizontal="center" vertical="center" wrapText="1"/>
    </xf>
    <xf numFmtId="0" fontId="1" fillId="0" borderId="5" xfId="0" applyFont="1" applyBorder="1" applyAlignment="1">
      <alignment horizontal="center" vertical="center"/>
    </xf>
    <xf numFmtId="49" fontId="10" fillId="6" borderId="2" xfId="3" quotePrefix="1" applyNumberFormat="1" applyFont="1" applyFill="1" applyBorder="1" applyProtection="1">
      <protection locked="0"/>
    </xf>
    <xf numFmtId="3" fontId="0" fillId="6" borderId="1" xfId="0" quotePrefix="1" applyNumberFormat="1" applyFill="1" applyBorder="1" applyAlignment="1" applyProtection="1">
      <alignment horizontal="center" vertical="center"/>
      <protection locked="0"/>
    </xf>
    <xf numFmtId="49" fontId="10" fillId="6" borderId="2" xfId="0" quotePrefix="1" applyNumberFormat="1" applyFont="1" applyFill="1" applyBorder="1" applyProtection="1">
      <protection locked="0"/>
    </xf>
    <xf numFmtId="0" fontId="1" fillId="0" borderId="0" xfId="0" applyFont="1"/>
    <xf numFmtId="0" fontId="25" fillId="0" borderId="0" xfId="0" applyFont="1"/>
    <xf numFmtId="2" fontId="0" fillId="4" borderId="0" xfId="0" applyNumberFormat="1" applyFill="1" applyAlignment="1">
      <alignment horizontal="center"/>
    </xf>
    <xf numFmtId="3" fontId="9" fillId="0" borderId="0" xfId="3" applyNumberFormat="1" applyAlignment="1" applyProtection="1">
      <alignment horizontal="center"/>
      <protection locked="0"/>
    </xf>
  </cellXfs>
  <cellStyles count="9">
    <cellStyle name="AFE" xfId="7" xr:uid="{3F9F62D5-FE5A-47DA-8C22-7D2D0B84C127}"/>
    <cellStyle name="Currency 2" xfId="8" xr:uid="{2D1D1EEB-0256-486B-AD7C-C5991597CA62}"/>
    <cellStyle name="Hyperlink" xfId="3" builtinId="8"/>
    <cellStyle name="Normal" xfId="0" builtinId="0"/>
    <cellStyle name="Normal 2" xfId="1" xr:uid="{00000000-0005-0000-0000-00002F000000}"/>
    <cellStyle name="Normal 2 2" xfId="5" xr:uid="{5B03484A-9D93-42DE-8BF3-AD033D866658}"/>
    <cellStyle name="Normal 3" xfId="2" xr:uid="{00000000-0005-0000-0000-000030000000}"/>
    <cellStyle name="Normal 4" xfId="4" xr:uid="{DE75C435-6831-4D39-906A-A8C5AE16006A}"/>
    <cellStyle name="Normal 5" xfId="6" xr:uid="{B85F1DED-D874-4DE4-A618-9916664C3A74}"/>
  </cellStyles>
  <dxfs count="69">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font>
        <b/>
        <i val="0"/>
        <color rgb="FFFF0000"/>
      </font>
      <border>
        <left style="thin">
          <color rgb="FFFF0000"/>
        </left>
        <right style="thin">
          <color rgb="FFFF0000"/>
        </right>
        <top style="thin">
          <color rgb="FFFF0000"/>
        </top>
        <bottom style="thin">
          <color rgb="FFFF0000"/>
        </bottom>
        <vertical/>
        <horizontal/>
      </border>
    </dxf>
    <dxf>
      <border>
        <left style="hair">
          <color auto="1"/>
        </left>
        <right style="hair">
          <color auto="1"/>
        </right>
        <top style="hair">
          <color auto="1"/>
        </top>
        <bottom style="hair">
          <color auto="1"/>
        </bottom>
        <vertical/>
        <horizontal/>
      </border>
    </dxf>
    <dxf>
      <font>
        <b val="0"/>
        <i val="0"/>
      </font>
      <border>
        <left style="hair">
          <color auto="1"/>
        </left>
        <right style="hair">
          <color auto="1"/>
        </right>
        <top style="hair">
          <color auto="1"/>
        </top>
        <bottom style="hair">
          <color auto="1"/>
        </bottom>
        <vertical/>
        <horizontal/>
      </border>
    </dxf>
  </dxfs>
  <tableStyles count="0" defaultTableStyle="TableStyleMedium2" defaultPivotStyle="PivotStyleLight16"/>
  <colors>
    <mruColors>
      <color rgb="FFFFFF99"/>
      <color rgb="FFDDEBF7"/>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2066925</xdr:colOff>
      <xdr:row>0</xdr:row>
      <xdr:rowOff>616925</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0" y="0"/>
          <a:ext cx="2066925" cy="616925"/>
        </a:xfrm>
        <a:prstGeom prst="rect">
          <a:avLst/>
        </a:prstGeom>
      </xdr:spPr>
    </xdr:pic>
    <xdr:clientData/>
  </xdr:twoCellAnchor>
  <xdr:twoCellAnchor editAs="oneCell">
    <xdr:from>
      <xdr:col>0</xdr:col>
      <xdr:colOff>1</xdr:colOff>
      <xdr:row>44</xdr:row>
      <xdr:rowOff>1</xdr:rowOff>
    </xdr:from>
    <xdr:to>
      <xdr:col>0</xdr:col>
      <xdr:colOff>4819651</xdr:colOff>
      <xdr:row>70</xdr:row>
      <xdr:rowOff>167409</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353426"/>
          <a:ext cx="4819650" cy="51204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352425</xdr:colOff>
      <xdr:row>0</xdr:row>
      <xdr:rowOff>616925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0" y="0"/>
          <a:ext cx="2066925" cy="6169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1481818</xdr:colOff>
      <xdr:row>0</xdr:row>
      <xdr:rowOff>616925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0" y="0"/>
          <a:ext cx="2066925" cy="6169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295275</xdr:colOff>
          <xdr:row>4</xdr:row>
          <xdr:rowOff>28575</xdr:rowOff>
        </xdr:from>
        <xdr:to>
          <xdr:col>5</xdr:col>
          <xdr:colOff>552450</xdr:colOff>
          <xdr:row>6</xdr:row>
          <xdr:rowOff>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581025</xdr:colOff>
          <xdr:row>4</xdr:row>
          <xdr:rowOff>28575</xdr:rowOff>
        </xdr:from>
        <xdr:to>
          <xdr:col>7</xdr:col>
          <xdr:colOff>9525</xdr:colOff>
          <xdr:row>6</xdr:row>
          <xdr:rowOff>0</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19050</xdr:colOff>
      <xdr:row>0</xdr:row>
      <xdr:rowOff>0</xdr:rowOff>
    </xdr:from>
    <xdr:to>
      <xdr:col>2</xdr:col>
      <xdr:colOff>666750</xdr:colOff>
      <xdr:row>0</xdr:row>
      <xdr:rowOff>616925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9050" y="0"/>
          <a:ext cx="2066925" cy="616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66675</xdr:colOff>
          <xdr:row>4</xdr:row>
          <xdr:rowOff>28575</xdr:rowOff>
        </xdr:from>
        <xdr:to>
          <xdr:col>4</xdr:col>
          <xdr:colOff>266700</xdr:colOff>
          <xdr:row>5</xdr:row>
          <xdr:rowOff>180975</xdr:rowOff>
        </xdr:to>
        <xdr:sp macro="" textlink="">
          <xdr:nvSpPr>
            <xdr:cNvPr id="1070" name="CommandButton3" hidden="1">
              <a:extLst>
                <a:ext uri="{63B3BB69-23CF-44E3-9099-C40C66FF867C}">
                  <a14:compatExt spid="_x0000_s1070"/>
                </a:ext>
                <a:ext uri="{FF2B5EF4-FFF2-40B4-BE49-F238E27FC236}">
                  <a16:creationId xmlns:a16="http://schemas.microsoft.com/office/drawing/2014/main" id="{00000000-0008-0000-03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5</xdr:row>
          <xdr:rowOff>76200</xdr:rowOff>
        </xdr:from>
        <xdr:to>
          <xdr:col>11</xdr:col>
          <xdr:colOff>1028700</xdr:colOff>
          <xdr:row>6</xdr:row>
          <xdr:rowOff>161925</xdr:rowOff>
        </xdr:to>
        <xdr:sp macro="" textlink="">
          <xdr:nvSpPr>
            <xdr:cNvPr id="1181" name="CommandButton4" hidden="1">
              <a:extLst>
                <a:ext uri="{63B3BB69-23CF-44E3-9099-C40C66FF867C}">
                  <a14:compatExt spid="_x0000_s1181"/>
                </a:ext>
                <a:ext uri="{FF2B5EF4-FFF2-40B4-BE49-F238E27FC236}">
                  <a16:creationId xmlns:a16="http://schemas.microsoft.com/office/drawing/2014/main" id="{00000000-0008-0000-0300-00009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13</xdr:col>
      <xdr:colOff>38100</xdr:colOff>
      <xdr:row>87</xdr:row>
      <xdr:rowOff>77437</xdr:rowOff>
    </xdr:from>
    <xdr:ext cx="529119" cy="344838"/>
    <xdr:sp macro="" textlink="">
      <xdr:nvSpPr>
        <xdr:cNvPr id="121" name="TextBox 120">
          <a:extLst>
            <a:ext uri="{FF2B5EF4-FFF2-40B4-BE49-F238E27FC236}">
              <a16:creationId xmlns:a16="http://schemas.microsoft.com/office/drawing/2014/main" id="{1CFB2511-D56A-5698-1720-E81134400170}"/>
            </a:ext>
          </a:extLst>
        </xdr:cNvPr>
        <xdr:cNvSpPr txBox="1"/>
      </xdr:nvSpPr>
      <xdr:spPr>
        <a:xfrm>
          <a:off x="7962900" y="1669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551</a:t>
          </a:r>
        </a:p>
        <a:p>
          <a:pPr algn="ctr"/>
          <a:r>
            <a:rPr lang="en-US" sz="1100"/>
            <a:t>Feet</a:t>
          </a:r>
        </a:p>
      </xdr:txBody>
    </xdr:sp>
    <xdr:clientData/>
  </xdr:oneCellAnchor>
  <xdr:oneCellAnchor>
    <xdr:from>
      <xdr:col>13</xdr:col>
      <xdr:colOff>495300</xdr:colOff>
      <xdr:row>88</xdr:row>
      <xdr:rowOff>66675</xdr:rowOff>
    </xdr:from>
    <xdr:ext cx="1059649" cy="781240"/>
    <xdr:sp macro="" textlink="">
      <xdr:nvSpPr>
        <xdr:cNvPr id="120" name="TextBox 119">
          <a:extLst>
            <a:ext uri="{FF2B5EF4-FFF2-40B4-BE49-F238E27FC236}">
              <a16:creationId xmlns:a16="http://schemas.microsoft.com/office/drawing/2014/main" id="{356C72F8-82F9-3E50-BA18-7FFAD5010D98}"/>
            </a:ext>
          </a:extLst>
        </xdr:cNvPr>
        <xdr:cNvSpPr txBox="1"/>
      </xdr:nvSpPr>
      <xdr:spPr>
        <a:xfrm>
          <a:off x="8420100" y="1687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1413/@002</a:t>
          </a:r>
        </a:p>
        <a:p>
          <a:pPr algn="l"/>
          <a:r>
            <a:rPr lang="en-US" sz="1100"/>
            <a:t>USBM1X8</a:t>
          </a:r>
        </a:p>
        <a:p>
          <a:pPr algn="l"/>
          <a:r>
            <a:rPr lang="en-US" sz="1100"/>
            <a:t>-12.83dBm In</a:t>
          </a:r>
        </a:p>
        <a:p>
          <a:pPr algn="l"/>
          <a:r>
            <a:rPr lang="en-US" sz="1100"/>
            <a:t>-23.47dBm Out</a:t>
          </a:r>
        </a:p>
      </xdr:txBody>
    </xdr:sp>
    <xdr:clientData/>
  </xdr:oneCellAnchor>
  <xdr:oneCellAnchor>
    <xdr:from>
      <xdr:col>6</xdr:col>
      <xdr:colOff>190500</xdr:colOff>
      <xdr:row>84</xdr:row>
      <xdr:rowOff>28575</xdr:rowOff>
    </xdr:from>
    <xdr:ext cx="697370" cy="264560"/>
    <xdr:sp macro="" textlink="">
      <xdr:nvSpPr>
        <xdr:cNvPr id="117" name="TextBox 116">
          <a:extLst>
            <a:ext uri="{FF2B5EF4-FFF2-40B4-BE49-F238E27FC236}">
              <a16:creationId xmlns:a16="http://schemas.microsoft.com/office/drawing/2014/main" id="{DFDF4926-F8CB-97F9-2D02-81DCD35F0CE1}"/>
            </a:ext>
          </a:extLst>
        </xdr:cNvPr>
        <xdr:cNvSpPr txBox="1"/>
      </xdr:nvSpPr>
      <xdr:spPr>
        <a:xfrm>
          <a:off x="3848100" y="16078200"/>
          <a:ext cx="697370"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b="1"/>
            <a:t>Branch 1</a:t>
          </a:r>
        </a:p>
      </xdr:txBody>
    </xdr:sp>
    <xdr:clientData/>
  </xdr:oneCellAnchor>
  <xdr:oneCellAnchor>
    <xdr:from>
      <xdr:col>7</xdr:col>
      <xdr:colOff>342900</xdr:colOff>
      <xdr:row>97</xdr:row>
      <xdr:rowOff>77437</xdr:rowOff>
    </xdr:from>
    <xdr:ext cx="529119" cy="344838"/>
    <xdr:sp macro="" textlink="">
      <xdr:nvSpPr>
        <xdr:cNvPr id="113" name="TextBox 112">
          <a:extLst>
            <a:ext uri="{FF2B5EF4-FFF2-40B4-BE49-F238E27FC236}">
              <a16:creationId xmlns:a16="http://schemas.microsoft.com/office/drawing/2014/main" id="{41819E22-A4EB-80B7-AC77-2D3CAD8B451D}"/>
            </a:ext>
          </a:extLst>
        </xdr:cNvPr>
        <xdr:cNvSpPr txBox="1"/>
      </xdr:nvSpPr>
      <xdr:spPr>
        <a:xfrm>
          <a:off x="4610100" y="1860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472</a:t>
          </a:r>
        </a:p>
        <a:p>
          <a:pPr algn="ctr"/>
          <a:r>
            <a:rPr lang="en-US" sz="1100"/>
            <a:t>Feet</a:t>
          </a:r>
        </a:p>
      </xdr:txBody>
    </xdr:sp>
    <xdr:clientData/>
  </xdr:oneCellAnchor>
  <xdr:oneCellAnchor>
    <xdr:from>
      <xdr:col>8</xdr:col>
      <xdr:colOff>190500</xdr:colOff>
      <xdr:row>98</xdr:row>
      <xdr:rowOff>66675</xdr:rowOff>
    </xdr:from>
    <xdr:ext cx="1059649" cy="781240"/>
    <xdr:sp macro="" textlink="">
      <xdr:nvSpPr>
        <xdr:cNvPr id="112" name="TextBox 111">
          <a:extLst>
            <a:ext uri="{FF2B5EF4-FFF2-40B4-BE49-F238E27FC236}">
              <a16:creationId xmlns:a16="http://schemas.microsoft.com/office/drawing/2014/main" id="{E72F8D27-D0D8-E58A-0943-27E6A6FB5D0B}"/>
            </a:ext>
          </a:extLst>
        </xdr:cNvPr>
        <xdr:cNvSpPr txBox="1"/>
      </xdr:nvSpPr>
      <xdr:spPr>
        <a:xfrm>
          <a:off x="5067300" y="1878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1272/@005</a:t>
          </a:r>
        </a:p>
        <a:p>
          <a:pPr algn="l"/>
          <a:r>
            <a:rPr lang="en-US" sz="1100"/>
            <a:t>USBM1X4</a:t>
          </a:r>
        </a:p>
        <a:p>
          <a:pPr algn="l"/>
          <a:r>
            <a:rPr lang="en-US" sz="1100"/>
            <a:t>-13.13dBm In</a:t>
          </a:r>
        </a:p>
        <a:p>
          <a:pPr algn="l"/>
          <a:r>
            <a:rPr lang="en-US" sz="1100"/>
            <a:t>-20.37dBm Out</a:t>
          </a:r>
        </a:p>
      </xdr:txBody>
    </xdr:sp>
    <xdr:clientData/>
  </xdr:oneCellAnchor>
  <xdr:oneCellAnchor>
    <xdr:from>
      <xdr:col>6</xdr:col>
      <xdr:colOff>190500</xdr:colOff>
      <xdr:row>94</xdr:row>
      <xdr:rowOff>28575</xdr:rowOff>
    </xdr:from>
    <xdr:ext cx="697370" cy="264560"/>
    <xdr:sp macro="" textlink="">
      <xdr:nvSpPr>
        <xdr:cNvPr id="109" name="TextBox 108">
          <a:extLst>
            <a:ext uri="{FF2B5EF4-FFF2-40B4-BE49-F238E27FC236}">
              <a16:creationId xmlns:a16="http://schemas.microsoft.com/office/drawing/2014/main" id="{4FFBDB16-DB44-7761-9EDC-EC408C5BDA7C}"/>
            </a:ext>
          </a:extLst>
        </xdr:cNvPr>
        <xdr:cNvSpPr txBox="1"/>
      </xdr:nvSpPr>
      <xdr:spPr>
        <a:xfrm>
          <a:off x="3848100" y="17983200"/>
          <a:ext cx="697370"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b="1"/>
            <a:t>Branch 2</a:t>
          </a:r>
        </a:p>
      </xdr:txBody>
    </xdr:sp>
    <xdr:clientData/>
  </xdr:oneCellAnchor>
  <xdr:oneCellAnchor>
    <xdr:from>
      <xdr:col>2</xdr:col>
      <xdr:colOff>38100</xdr:colOff>
      <xdr:row>97</xdr:row>
      <xdr:rowOff>77437</xdr:rowOff>
    </xdr:from>
    <xdr:ext cx="529119" cy="344838"/>
    <xdr:sp macro="" textlink="">
      <xdr:nvSpPr>
        <xdr:cNvPr id="105" name="TextBox 104">
          <a:extLst>
            <a:ext uri="{FF2B5EF4-FFF2-40B4-BE49-F238E27FC236}">
              <a16:creationId xmlns:a16="http://schemas.microsoft.com/office/drawing/2014/main" id="{DBE0FCEF-51C2-04E0-F5AD-C5DF3B15B5D2}"/>
            </a:ext>
          </a:extLst>
        </xdr:cNvPr>
        <xdr:cNvSpPr txBox="1"/>
      </xdr:nvSpPr>
      <xdr:spPr>
        <a:xfrm>
          <a:off x="1257300" y="1860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996</a:t>
          </a:r>
        </a:p>
        <a:p>
          <a:pPr algn="ctr"/>
          <a:r>
            <a:rPr lang="en-US" sz="1100"/>
            <a:t>Feet</a:t>
          </a:r>
        </a:p>
      </xdr:txBody>
    </xdr:sp>
    <xdr:clientData/>
  </xdr:oneCellAnchor>
  <xdr:oneCellAnchor>
    <xdr:from>
      <xdr:col>2</xdr:col>
      <xdr:colOff>495300</xdr:colOff>
      <xdr:row>98</xdr:row>
      <xdr:rowOff>66675</xdr:rowOff>
    </xdr:from>
    <xdr:ext cx="1059649" cy="781240"/>
    <xdr:sp macro="" textlink="">
      <xdr:nvSpPr>
        <xdr:cNvPr id="104" name="TextBox 103">
          <a:extLst>
            <a:ext uri="{FF2B5EF4-FFF2-40B4-BE49-F238E27FC236}">
              <a16:creationId xmlns:a16="http://schemas.microsoft.com/office/drawing/2014/main" id="{F5D9FDA7-B854-13FA-1480-EE43CC2F8A35}"/>
            </a:ext>
          </a:extLst>
        </xdr:cNvPr>
        <xdr:cNvSpPr txBox="1"/>
      </xdr:nvSpPr>
      <xdr:spPr>
        <a:xfrm>
          <a:off x="1714500" y="1878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1481/@504</a:t>
          </a:r>
        </a:p>
        <a:p>
          <a:pPr algn="l"/>
          <a:r>
            <a:rPr lang="en-US" sz="1100"/>
            <a:t>USBM1X4</a:t>
          </a:r>
        </a:p>
        <a:p>
          <a:pPr algn="l"/>
          <a:r>
            <a:rPr lang="en-US" sz="1100"/>
            <a:t>-11.62dBm In</a:t>
          </a:r>
        </a:p>
        <a:p>
          <a:pPr algn="l"/>
          <a:r>
            <a:rPr lang="en-US" sz="1100"/>
            <a:t>-18.86dBm Out</a:t>
          </a:r>
        </a:p>
      </xdr:txBody>
    </xdr:sp>
    <xdr:clientData/>
  </xdr:oneCellAnchor>
  <xdr:oneCellAnchor>
    <xdr:from>
      <xdr:col>2</xdr:col>
      <xdr:colOff>38100</xdr:colOff>
      <xdr:row>92</xdr:row>
      <xdr:rowOff>77437</xdr:rowOff>
    </xdr:from>
    <xdr:ext cx="529119" cy="344838"/>
    <xdr:sp macro="" textlink="">
      <xdr:nvSpPr>
        <xdr:cNvPr id="101" name="TextBox 100">
          <a:extLst>
            <a:ext uri="{FF2B5EF4-FFF2-40B4-BE49-F238E27FC236}">
              <a16:creationId xmlns:a16="http://schemas.microsoft.com/office/drawing/2014/main" id="{04CB6370-F05A-B83B-A2E2-24CAF0B79B04}"/>
            </a:ext>
          </a:extLst>
        </xdr:cNvPr>
        <xdr:cNvSpPr txBox="1"/>
      </xdr:nvSpPr>
      <xdr:spPr>
        <a:xfrm>
          <a:off x="1257300" y="1765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258</a:t>
          </a:r>
        </a:p>
        <a:p>
          <a:pPr algn="ctr"/>
          <a:r>
            <a:rPr lang="en-US" sz="1100"/>
            <a:t>Feet</a:t>
          </a:r>
        </a:p>
      </xdr:txBody>
    </xdr:sp>
    <xdr:clientData/>
  </xdr:oneCellAnchor>
  <xdr:oneCellAnchor>
    <xdr:from>
      <xdr:col>2</xdr:col>
      <xdr:colOff>495300</xdr:colOff>
      <xdr:row>93</xdr:row>
      <xdr:rowOff>66675</xdr:rowOff>
    </xdr:from>
    <xdr:ext cx="1059649" cy="781240"/>
    <xdr:sp macro="" textlink="">
      <xdr:nvSpPr>
        <xdr:cNvPr id="100" name="TextBox 99">
          <a:extLst>
            <a:ext uri="{FF2B5EF4-FFF2-40B4-BE49-F238E27FC236}">
              <a16:creationId xmlns:a16="http://schemas.microsoft.com/office/drawing/2014/main" id="{AE54E273-61D8-704C-9294-4B840DC22722}"/>
            </a:ext>
          </a:extLst>
        </xdr:cNvPr>
        <xdr:cNvSpPr txBox="1"/>
      </xdr:nvSpPr>
      <xdr:spPr>
        <a:xfrm>
          <a:off x="1714500" y="1783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1272/004</a:t>
          </a:r>
        </a:p>
        <a:p>
          <a:pPr algn="l"/>
          <a:r>
            <a:rPr lang="en-US" sz="1100"/>
            <a:t>N/A</a:t>
          </a:r>
        </a:p>
        <a:p>
          <a:pPr algn="l"/>
          <a:r>
            <a:rPr lang="en-US" sz="1100"/>
            <a:t>-11.48dBm In</a:t>
          </a:r>
        </a:p>
        <a:p>
          <a:pPr algn="l"/>
          <a:r>
            <a:rPr lang="en-US" sz="1100"/>
            <a:t>-11.51dBm Out</a:t>
          </a:r>
        </a:p>
      </xdr:txBody>
    </xdr:sp>
    <xdr:clientData/>
  </xdr:oneCellAnchor>
  <xdr:oneCellAnchor>
    <xdr:from>
      <xdr:col>2</xdr:col>
      <xdr:colOff>38100</xdr:colOff>
      <xdr:row>87</xdr:row>
      <xdr:rowOff>77437</xdr:rowOff>
    </xdr:from>
    <xdr:ext cx="529119" cy="344838"/>
    <xdr:sp macro="" textlink="">
      <xdr:nvSpPr>
        <xdr:cNvPr id="95" name="TextBox 94">
          <a:extLst>
            <a:ext uri="{FF2B5EF4-FFF2-40B4-BE49-F238E27FC236}">
              <a16:creationId xmlns:a16="http://schemas.microsoft.com/office/drawing/2014/main" id="{02C8C15E-574C-F163-0A6D-6D55D1357645}"/>
            </a:ext>
          </a:extLst>
        </xdr:cNvPr>
        <xdr:cNvSpPr txBox="1"/>
      </xdr:nvSpPr>
      <xdr:spPr>
        <a:xfrm>
          <a:off x="1257300" y="1669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570</a:t>
          </a:r>
        </a:p>
        <a:p>
          <a:pPr algn="ctr"/>
          <a:r>
            <a:rPr lang="en-US" sz="1100"/>
            <a:t>Feet</a:t>
          </a:r>
        </a:p>
      </xdr:txBody>
    </xdr:sp>
    <xdr:clientData/>
  </xdr:oneCellAnchor>
  <xdr:oneCellAnchor>
    <xdr:from>
      <xdr:col>2</xdr:col>
      <xdr:colOff>495300</xdr:colOff>
      <xdr:row>88</xdr:row>
      <xdr:rowOff>66675</xdr:rowOff>
    </xdr:from>
    <xdr:ext cx="1059649" cy="781240"/>
    <xdr:sp macro="" textlink="">
      <xdr:nvSpPr>
        <xdr:cNvPr id="94" name="TextBox 93">
          <a:extLst>
            <a:ext uri="{FF2B5EF4-FFF2-40B4-BE49-F238E27FC236}">
              <a16:creationId xmlns:a16="http://schemas.microsoft.com/office/drawing/2014/main" id="{2447484E-5F11-666A-6C1D-D803A3AA6B92}"/>
            </a:ext>
          </a:extLst>
        </xdr:cNvPr>
        <xdr:cNvSpPr txBox="1"/>
      </xdr:nvSpPr>
      <xdr:spPr>
        <a:xfrm>
          <a:off x="1714500" y="1687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1272/@003</a:t>
          </a:r>
        </a:p>
        <a:p>
          <a:pPr algn="l"/>
          <a:r>
            <a:rPr lang="en-US" sz="1100"/>
            <a:t>USBM1X4</a:t>
          </a:r>
        </a:p>
        <a:p>
          <a:pPr algn="l"/>
          <a:r>
            <a:rPr lang="en-US" sz="1100"/>
            <a:t>-11.42dBm In</a:t>
          </a:r>
        </a:p>
        <a:p>
          <a:pPr algn="l"/>
          <a:r>
            <a:rPr lang="en-US" sz="1100"/>
            <a:t>-18.66dBm Out</a:t>
          </a:r>
        </a:p>
      </xdr:txBody>
    </xdr:sp>
    <xdr:clientData/>
  </xdr:oneCellAnchor>
  <xdr:oneCellAnchor>
    <xdr:from>
      <xdr:col>2</xdr:col>
      <xdr:colOff>38100</xdr:colOff>
      <xdr:row>82</xdr:row>
      <xdr:rowOff>77437</xdr:rowOff>
    </xdr:from>
    <xdr:ext cx="529119" cy="344838"/>
    <xdr:sp macro="" textlink="">
      <xdr:nvSpPr>
        <xdr:cNvPr id="91" name="TextBox 90">
          <a:extLst>
            <a:ext uri="{FF2B5EF4-FFF2-40B4-BE49-F238E27FC236}">
              <a16:creationId xmlns:a16="http://schemas.microsoft.com/office/drawing/2014/main" id="{FCDF16A8-5C1D-CCDD-B83E-0E8B3616F775}"/>
            </a:ext>
          </a:extLst>
        </xdr:cNvPr>
        <xdr:cNvSpPr txBox="1"/>
      </xdr:nvSpPr>
      <xdr:spPr>
        <a:xfrm>
          <a:off x="1257300" y="15746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643</a:t>
          </a:r>
        </a:p>
        <a:p>
          <a:pPr algn="ctr"/>
          <a:r>
            <a:rPr lang="en-US" sz="1100"/>
            <a:t>Feet</a:t>
          </a:r>
        </a:p>
      </xdr:txBody>
    </xdr:sp>
    <xdr:clientData/>
  </xdr:oneCellAnchor>
  <xdr:oneCellAnchor>
    <xdr:from>
      <xdr:col>2</xdr:col>
      <xdr:colOff>495300</xdr:colOff>
      <xdr:row>83</xdr:row>
      <xdr:rowOff>66675</xdr:rowOff>
    </xdr:from>
    <xdr:ext cx="1059649" cy="781240"/>
    <xdr:sp macro="" textlink="">
      <xdr:nvSpPr>
        <xdr:cNvPr id="90" name="TextBox 89">
          <a:extLst>
            <a:ext uri="{FF2B5EF4-FFF2-40B4-BE49-F238E27FC236}">
              <a16:creationId xmlns:a16="http://schemas.microsoft.com/office/drawing/2014/main" id="{735F4FE8-DA1F-BABB-C9EF-6019B6AFD7E0}"/>
            </a:ext>
          </a:extLst>
        </xdr:cNvPr>
        <xdr:cNvSpPr txBox="1"/>
      </xdr:nvSpPr>
      <xdr:spPr>
        <a:xfrm>
          <a:off x="1714500" y="1592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1272/301</a:t>
          </a:r>
        </a:p>
        <a:p>
          <a:pPr algn="l"/>
          <a:r>
            <a:rPr lang="en-US" sz="1100"/>
            <a:t>N/A</a:t>
          </a:r>
        </a:p>
        <a:p>
          <a:pPr algn="l"/>
          <a:r>
            <a:rPr lang="en-US" sz="1100"/>
            <a:t>-11.32dBm In</a:t>
          </a:r>
        </a:p>
        <a:p>
          <a:pPr algn="l"/>
          <a:r>
            <a:rPr lang="en-US" sz="1100"/>
            <a:t>-11.36dBm Out</a:t>
          </a:r>
        </a:p>
      </xdr:txBody>
    </xdr:sp>
    <xdr:clientData/>
  </xdr:oneCellAnchor>
  <xdr:oneCellAnchor>
    <xdr:from>
      <xdr:col>2</xdr:col>
      <xdr:colOff>38100</xdr:colOff>
      <xdr:row>77</xdr:row>
      <xdr:rowOff>77437</xdr:rowOff>
    </xdr:from>
    <xdr:ext cx="529119" cy="344838"/>
    <xdr:sp macro="" textlink="">
      <xdr:nvSpPr>
        <xdr:cNvPr id="85" name="TextBox 84">
          <a:extLst>
            <a:ext uri="{FF2B5EF4-FFF2-40B4-BE49-F238E27FC236}">
              <a16:creationId xmlns:a16="http://schemas.microsoft.com/office/drawing/2014/main" id="{E82A6183-A094-7CE8-65E3-2B93A3D10FD0}"/>
            </a:ext>
          </a:extLst>
        </xdr:cNvPr>
        <xdr:cNvSpPr txBox="1"/>
      </xdr:nvSpPr>
      <xdr:spPr>
        <a:xfrm>
          <a:off x="1257300" y="1479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692</a:t>
          </a:r>
        </a:p>
        <a:p>
          <a:pPr algn="ctr"/>
          <a:r>
            <a:rPr lang="en-US" sz="1100"/>
            <a:t>Feet</a:t>
          </a:r>
        </a:p>
      </xdr:txBody>
    </xdr:sp>
    <xdr:clientData/>
  </xdr:oneCellAnchor>
  <xdr:oneCellAnchor>
    <xdr:from>
      <xdr:col>2</xdr:col>
      <xdr:colOff>495300</xdr:colOff>
      <xdr:row>78</xdr:row>
      <xdr:rowOff>66675</xdr:rowOff>
    </xdr:from>
    <xdr:ext cx="1059649" cy="781240"/>
    <xdr:sp macro="" textlink="">
      <xdr:nvSpPr>
        <xdr:cNvPr id="84" name="TextBox 83">
          <a:extLst>
            <a:ext uri="{FF2B5EF4-FFF2-40B4-BE49-F238E27FC236}">
              <a16:creationId xmlns:a16="http://schemas.microsoft.com/office/drawing/2014/main" id="{A9DB2659-4FFE-B409-987D-7CCBAD6F3A82}"/>
            </a:ext>
          </a:extLst>
        </xdr:cNvPr>
        <xdr:cNvSpPr txBox="1"/>
      </xdr:nvSpPr>
      <xdr:spPr>
        <a:xfrm>
          <a:off x="1714500" y="1497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1203/@019</a:t>
          </a:r>
        </a:p>
        <a:p>
          <a:pPr algn="l"/>
          <a:r>
            <a:rPr lang="en-US" sz="1100"/>
            <a:t>USBM1X4</a:t>
          </a:r>
        </a:p>
        <a:p>
          <a:pPr algn="l"/>
          <a:r>
            <a:rPr lang="en-US" sz="1100"/>
            <a:t>-11.22dBm In</a:t>
          </a:r>
        </a:p>
        <a:p>
          <a:pPr algn="l"/>
          <a:r>
            <a:rPr lang="en-US" sz="1100"/>
            <a:t>-18.46dBm Out</a:t>
          </a:r>
        </a:p>
      </xdr:txBody>
    </xdr:sp>
    <xdr:clientData/>
  </xdr:oneCellAnchor>
  <xdr:oneCellAnchor>
    <xdr:from>
      <xdr:col>2</xdr:col>
      <xdr:colOff>38100</xdr:colOff>
      <xdr:row>72</xdr:row>
      <xdr:rowOff>77437</xdr:rowOff>
    </xdr:from>
    <xdr:ext cx="529119" cy="344838"/>
    <xdr:sp macro="" textlink="">
      <xdr:nvSpPr>
        <xdr:cNvPr id="79" name="TextBox 78">
          <a:extLst>
            <a:ext uri="{FF2B5EF4-FFF2-40B4-BE49-F238E27FC236}">
              <a16:creationId xmlns:a16="http://schemas.microsoft.com/office/drawing/2014/main" id="{0EB1874E-5A10-535C-8CC4-A455AED08B2F}"/>
            </a:ext>
          </a:extLst>
        </xdr:cNvPr>
        <xdr:cNvSpPr txBox="1"/>
      </xdr:nvSpPr>
      <xdr:spPr>
        <a:xfrm>
          <a:off x="1257300" y="1384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483</a:t>
          </a:r>
        </a:p>
        <a:p>
          <a:pPr algn="ctr"/>
          <a:r>
            <a:rPr lang="en-US" sz="1100"/>
            <a:t>Feet</a:t>
          </a:r>
        </a:p>
      </xdr:txBody>
    </xdr:sp>
    <xdr:clientData/>
  </xdr:oneCellAnchor>
  <xdr:oneCellAnchor>
    <xdr:from>
      <xdr:col>2</xdr:col>
      <xdr:colOff>495300</xdr:colOff>
      <xdr:row>73</xdr:row>
      <xdr:rowOff>66675</xdr:rowOff>
    </xdr:from>
    <xdr:ext cx="1059649" cy="781240"/>
    <xdr:sp macro="" textlink="">
      <xdr:nvSpPr>
        <xdr:cNvPr id="78" name="TextBox 77">
          <a:extLst>
            <a:ext uri="{FF2B5EF4-FFF2-40B4-BE49-F238E27FC236}">
              <a16:creationId xmlns:a16="http://schemas.microsoft.com/office/drawing/2014/main" id="{C1DEDF5B-71C5-E752-1383-3116FCC40080}"/>
            </a:ext>
          </a:extLst>
        </xdr:cNvPr>
        <xdr:cNvSpPr txBox="1"/>
      </xdr:nvSpPr>
      <xdr:spPr>
        <a:xfrm>
          <a:off x="1714500" y="1402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1203/@017</a:t>
          </a:r>
        </a:p>
        <a:p>
          <a:pPr algn="l"/>
          <a:r>
            <a:rPr lang="en-US" sz="1100"/>
            <a:t>USBM1X8</a:t>
          </a:r>
        </a:p>
        <a:p>
          <a:pPr algn="l"/>
          <a:r>
            <a:rPr lang="en-US" sz="1100"/>
            <a:t>-11.11dBm In</a:t>
          </a:r>
        </a:p>
        <a:p>
          <a:pPr algn="l"/>
          <a:r>
            <a:rPr lang="en-US" sz="1100"/>
            <a:t>-21.75dBm Out</a:t>
          </a:r>
        </a:p>
      </xdr:txBody>
    </xdr:sp>
    <xdr:clientData/>
  </xdr:oneCellAnchor>
  <xdr:oneCellAnchor>
    <xdr:from>
      <xdr:col>2</xdr:col>
      <xdr:colOff>38100</xdr:colOff>
      <xdr:row>67</xdr:row>
      <xdr:rowOff>77437</xdr:rowOff>
    </xdr:from>
    <xdr:ext cx="529119" cy="344838"/>
    <xdr:sp macro="" textlink="">
      <xdr:nvSpPr>
        <xdr:cNvPr id="73" name="TextBox 72">
          <a:extLst>
            <a:ext uri="{FF2B5EF4-FFF2-40B4-BE49-F238E27FC236}">
              <a16:creationId xmlns:a16="http://schemas.microsoft.com/office/drawing/2014/main" id="{9B490420-CE64-C1A9-F453-B7B447E0E8FC}"/>
            </a:ext>
          </a:extLst>
        </xdr:cNvPr>
        <xdr:cNvSpPr txBox="1"/>
      </xdr:nvSpPr>
      <xdr:spPr>
        <a:xfrm>
          <a:off x="1257300" y="1288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591</a:t>
          </a:r>
        </a:p>
        <a:p>
          <a:pPr algn="ctr"/>
          <a:r>
            <a:rPr lang="en-US" sz="1100"/>
            <a:t>Feet</a:t>
          </a:r>
        </a:p>
      </xdr:txBody>
    </xdr:sp>
    <xdr:clientData/>
  </xdr:oneCellAnchor>
  <xdr:oneCellAnchor>
    <xdr:from>
      <xdr:col>2</xdr:col>
      <xdr:colOff>495300</xdr:colOff>
      <xdr:row>68</xdr:row>
      <xdr:rowOff>66675</xdr:rowOff>
    </xdr:from>
    <xdr:ext cx="1059649" cy="781240"/>
    <xdr:sp macro="" textlink="">
      <xdr:nvSpPr>
        <xdr:cNvPr id="72" name="TextBox 71">
          <a:extLst>
            <a:ext uri="{FF2B5EF4-FFF2-40B4-BE49-F238E27FC236}">
              <a16:creationId xmlns:a16="http://schemas.microsoft.com/office/drawing/2014/main" id="{D3FB7746-ED5D-190A-852F-B76CF85BA4DF}"/>
            </a:ext>
          </a:extLst>
        </xdr:cNvPr>
        <xdr:cNvSpPr txBox="1"/>
      </xdr:nvSpPr>
      <xdr:spPr>
        <a:xfrm>
          <a:off x="1714500" y="1306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1203/@015</a:t>
          </a:r>
        </a:p>
        <a:p>
          <a:pPr algn="l"/>
          <a:r>
            <a:rPr lang="en-US" sz="1100"/>
            <a:t>USBM1X4</a:t>
          </a:r>
        </a:p>
        <a:p>
          <a:pPr algn="l"/>
          <a:r>
            <a:rPr lang="en-US" sz="1100"/>
            <a:t>-11.03dBm In</a:t>
          </a:r>
        </a:p>
        <a:p>
          <a:pPr algn="l"/>
          <a:r>
            <a:rPr lang="en-US" sz="1100"/>
            <a:t>-18.27dBm Out</a:t>
          </a:r>
        </a:p>
      </xdr:txBody>
    </xdr:sp>
    <xdr:clientData/>
  </xdr:oneCellAnchor>
  <xdr:oneCellAnchor>
    <xdr:from>
      <xdr:col>2</xdr:col>
      <xdr:colOff>38100</xdr:colOff>
      <xdr:row>62</xdr:row>
      <xdr:rowOff>77437</xdr:rowOff>
    </xdr:from>
    <xdr:ext cx="529119" cy="344838"/>
    <xdr:sp macro="" textlink="">
      <xdr:nvSpPr>
        <xdr:cNvPr id="67" name="TextBox 66">
          <a:extLst>
            <a:ext uri="{FF2B5EF4-FFF2-40B4-BE49-F238E27FC236}">
              <a16:creationId xmlns:a16="http://schemas.microsoft.com/office/drawing/2014/main" id="{E610644E-BEBD-D800-9263-E0D58171A517}"/>
            </a:ext>
          </a:extLst>
        </xdr:cNvPr>
        <xdr:cNvSpPr txBox="1"/>
      </xdr:nvSpPr>
      <xdr:spPr>
        <a:xfrm>
          <a:off x="1257300" y="11936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647</a:t>
          </a:r>
        </a:p>
        <a:p>
          <a:pPr algn="ctr"/>
          <a:r>
            <a:rPr lang="en-US" sz="1100"/>
            <a:t>Feet</a:t>
          </a:r>
        </a:p>
      </xdr:txBody>
    </xdr:sp>
    <xdr:clientData/>
  </xdr:oneCellAnchor>
  <xdr:oneCellAnchor>
    <xdr:from>
      <xdr:col>2</xdr:col>
      <xdr:colOff>495300</xdr:colOff>
      <xdr:row>63</xdr:row>
      <xdr:rowOff>66675</xdr:rowOff>
    </xdr:from>
    <xdr:ext cx="1059649" cy="781240"/>
    <xdr:sp macro="" textlink="">
      <xdr:nvSpPr>
        <xdr:cNvPr id="66" name="TextBox 65">
          <a:extLst>
            <a:ext uri="{FF2B5EF4-FFF2-40B4-BE49-F238E27FC236}">
              <a16:creationId xmlns:a16="http://schemas.microsoft.com/office/drawing/2014/main" id="{DA2F92E6-C3D2-AA4C-E36E-2784397FD547}"/>
            </a:ext>
          </a:extLst>
        </xdr:cNvPr>
        <xdr:cNvSpPr txBox="1"/>
      </xdr:nvSpPr>
      <xdr:spPr>
        <a:xfrm>
          <a:off x="1714500" y="1211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1203/@013</a:t>
          </a:r>
        </a:p>
        <a:p>
          <a:pPr algn="l"/>
          <a:r>
            <a:rPr lang="en-US" sz="1100"/>
            <a:t>USBM1X8</a:t>
          </a:r>
        </a:p>
        <a:p>
          <a:pPr algn="l"/>
          <a:r>
            <a:rPr lang="en-US" sz="1100"/>
            <a:t>-10.93dBm In</a:t>
          </a:r>
        </a:p>
        <a:p>
          <a:pPr algn="l"/>
          <a:r>
            <a:rPr lang="en-US" sz="1100"/>
            <a:t>-21.57dBm Out</a:t>
          </a:r>
        </a:p>
      </xdr:txBody>
    </xdr:sp>
    <xdr:clientData/>
  </xdr:oneCellAnchor>
  <xdr:oneCellAnchor>
    <xdr:from>
      <xdr:col>2</xdr:col>
      <xdr:colOff>38100</xdr:colOff>
      <xdr:row>57</xdr:row>
      <xdr:rowOff>77437</xdr:rowOff>
    </xdr:from>
    <xdr:ext cx="529119" cy="344838"/>
    <xdr:sp macro="" textlink="">
      <xdr:nvSpPr>
        <xdr:cNvPr id="61" name="TextBox 60">
          <a:extLst>
            <a:ext uri="{FF2B5EF4-FFF2-40B4-BE49-F238E27FC236}">
              <a16:creationId xmlns:a16="http://schemas.microsoft.com/office/drawing/2014/main" id="{08DF4C5C-BBE4-C3D3-3599-63D5EABA89C4}"/>
            </a:ext>
          </a:extLst>
        </xdr:cNvPr>
        <xdr:cNvSpPr txBox="1"/>
      </xdr:nvSpPr>
      <xdr:spPr>
        <a:xfrm>
          <a:off x="1257300" y="1098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512</a:t>
          </a:r>
        </a:p>
        <a:p>
          <a:pPr algn="ctr"/>
          <a:r>
            <a:rPr lang="en-US" sz="1100"/>
            <a:t>Feet</a:t>
          </a:r>
        </a:p>
      </xdr:txBody>
    </xdr:sp>
    <xdr:clientData/>
  </xdr:oneCellAnchor>
  <xdr:oneCellAnchor>
    <xdr:from>
      <xdr:col>2</xdr:col>
      <xdr:colOff>495300</xdr:colOff>
      <xdr:row>58</xdr:row>
      <xdr:rowOff>66675</xdr:rowOff>
    </xdr:from>
    <xdr:ext cx="1059649" cy="781240"/>
    <xdr:sp macro="" textlink="">
      <xdr:nvSpPr>
        <xdr:cNvPr id="60" name="TextBox 59">
          <a:extLst>
            <a:ext uri="{FF2B5EF4-FFF2-40B4-BE49-F238E27FC236}">
              <a16:creationId xmlns:a16="http://schemas.microsoft.com/office/drawing/2014/main" id="{B9A7AA1B-53AD-8842-C3F5-4DDB8116C7C2}"/>
            </a:ext>
          </a:extLst>
        </xdr:cNvPr>
        <xdr:cNvSpPr txBox="1"/>
      </xdr:nvSpPr>
      <xdr:spPr>
        <a:xfrm>
          <a:off x="1714500" y="1116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1203/@312</a:t>
          </a:r>
        </a:p>
        <a:p>
          <a:pPr algn="l"/>
          <a:r>
            <a:rPr lang="en-US" sz="1100"/>
            <a:t>USBM1X8</a:t>
          </a:r>
        </a:p>
        <a:p>
          <a:pPr algn="l"/>
          <a:r>
            <a:rPr lang="en-US" sz="1100"/>
            <a:t>-10.83dBm In</a:t>
          </a:r>
        </a:p>
        <a:p>
          <a:pPr algn="l"/>
          <a:r>
            <a:rPr lang="en-US" sz="1100"/>
            <a:t>-21.47dBm Out</a:t>
          </a:r>
        </a:p>
      </xdr:txBody>
    </xdr:sp>
    <xdr:clientData/>
  </xdr:oneCellAnchor>
  <xdr:oneCellAnchor>
    <xdr:from>
      <xdr:col>2</xdr:col>
      <xdr:colOff>38100</xdr:colOff>
      <xdr:row>52</xdr:row>
      <xdr:rowOff>77437</xdr:rowOff>
    </xdr:from>
    <xdr:ext cx="529119" cy="344838"/>
    <xdr:sp macro="" textlink="">
      <xdr:nvSpPr>
        <xdr:cNvPr id="55" name="TextBox 54">
          <a:extLst>
            <a:ext uri="{FF2B5EF4-FFF2-40B4-BE49-F238E27FC236}">
              <a16:creationId xmlns:a16="http://schemas.microsoft.com/office/drawing/2014/main" id="{81C70B31-9A4C-CA78-C475-CE18F6F5F3A0}"/>
            </a:ext>
          </a:extLst>
        </xdr:cNvPr>
        <xdr:cNvSpPr txBox="1"/>
      </xdr:nvSpPr>
      <xdr:spPr>
        <a:xfrm>
          <a:off x="1257300" y="1003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757</a:t>
          </a:r>
        </a:p>
        <a:p>
          <a:pPr algn="ctr"/>
          <a:r>
            <a:rPr lang="en-US" sz="1100"/>
            <a:t>Feet</a:t>
          </a:r>
        </a:p>
      </xdr:txBody>
    </xdr:sp>
    <xdr:clientData/>
  </xdr:oneCellAnchor>
  <xdr:oneCellAnchor>
    <xdr:from>
      <xdr:col>2</xdr:col>
      <xdr:colOff>495300</xdr:colOff>
      <xdr:row>53</xdr:row>
      <xdr:rowOff>66675</xdr:rowOff>
    </xdr:from>
    <xdr:ext cx="1059649" cy="781240"/>
    <xdr:sp macro="" textlink="">
      <xdr:nvSpPr>
        <xdr:cNvPr id="54" name="TextBox 53">
          <a:extLst>
            <a:ext uri="{FF2B5EF4-FFF2-40B4-BE49-F238E27FC236}">
              <a16:creationId xmlns:a16="http://schemas.microsoft.com/office/drawing/2014/main" id="{EB2B5382-A416-8D07-0487-496EF80FA0CB}"/>
            </a:ext>
          </a:extLst>
        </xdr:cNvPr>
        <xdr:cNvSpPr txBox="1"/>
      </xdr:nvSpPr>
      <xdr:spPr>
        <a:xfrm>
          <a:off x="1714500" y="1021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1203/@010</a:t>
          </a:r>
        </a:p>
        <a:p>
          <a:pPr algn="l"/>
          <a:r>
            <a:rPr lang="en-US" sz="1100"/>
            <a:t>USBM1X4</a:t>
          </a:r>
        </a:p>
        <a:p>
          <a:pPr algn="l"/>
          <a:r>
            <a:rPr lang="en-US" sz="1100"/>
            <a:t>-10.74dBm In</a:t>
          </a:r>
        </a:p>
        <a:p>
          <a:pPr algn="l"/>
          <a:r>
            <a:rPr lang="en-US" sz="1100"/>
            <a:t>-17.98dBm Out</a:t>
          </a:r>
        </a:p>
      </xdr:txBody>
    </xdr:sp>
    <xdr:clientData/>
  </xdr:oneCellAnchor>
  <xdr:oneCellAnchor>
    <xdr:from>
      <xdr:col>2</xdr:col>
      <xdr:colOff>38100</xdr:colOff>
      <xdr:row>47</xdr:row>
      <xdr:rowOff>77437</xdr:rowOff>
    </xdr:from>
    <xdr:ext cx="529119" cy="344838"/>
    <xdr:sp macro="" textlink="">
      <xdr:nvSpPr>
        <xdr:cNvPr id="49" name="TextBox 48">
          <a:extLst>
            <a:ext uri="{FF2B5EF4-FFF2-40B4-BE49-F238E27FC236}">
              <a16:creationId xmlns:a16="http://schemas.microsoft.com/office/drawing/2014/main" id="{D93EDB94-F43F-D0F2-BE8F-24904C0FA910}"/>
            </a:ext>
          </a:extLst>
        </xdr:cNvPr>
        <xdr:cNvSpPr txBox="1"/>
      </xdr:nvSpPr>
      <xdr:spPr>
        <a:xfrm>
          <a:off x="1257300" y="907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799</a:t>
          </a:r>
        </a:p>
        <a:p>
          <a:pPr algn="ctr"/>
          <a:r>
            <a:rPr lang="en-US" sz="1100"/>
            <a:t>Feet</a:t>
          </a:r>
        </a:p>
      </xdr:txBody>
    </xdr:sp>
    <xdr:clientData/>
  </xdr:oneCellAnchor>
  <xdr:oneCellAnchor>
    <xdr:from>
      <xdr:col>2</xdr:col>
      <xdr:colOff>495300</xdr:colOff>
      <xdr:row>48</xdr:row>
      <xdr:rowOff>66675</xdr:rowOff>
    </xdr:from>
    <xdr:ext cx="1059649" cy="781240"/>
    <xdr:sp macro="" textlink="">
      <xdr:nvSpPr>
        <xdr:cNvPr id="48" name="TextBox 47">
          <a:extLst>
            <a:ext uri="{FF2B5EF4-FFF2-40B4-BE49-F238E27FC236}">
              <a16:creationId xmlns:a16="http://schemas.microsoft.com/office/drawing/2014/main" id="{5B8FE659-5F8D-C922-E9F9-22EFD23569AF}"/>
            </a:ext>
          </a:extLst>
        </xdr:cNvPr>
        <xdr:cNvSpPr txBox="1"/>
      </xdr:nvSpPr>
      <xdr:spPr>
        <a:xfrm>
          <a:off x="1714500" y="925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1203/@008</a:t>
          </a:r>
        </a:p>
        <a:p>
          <a:pPr algn="l"/>
          <a:r>
            <a:rPr lang="en-US" sz="1100"/>
            <a:t>USBM1X4</a:t>
          </a:r>
        </a:p>
        <a:p>
          <a:pPr algn="l"/>
          <a:r>
            <a:rPr lang="en-US" sz="1100"/>
            <a:t>-10.63dBm In</a:t>
          </a:r>
        </a:p>
        <a:p>
          <a:pPr algn="l"/>
          <a:r>
            <a:rPr lang="en-US" sz="1100"/>
            <a:t>-17.87dBm Out</a:t>
          </a:r>
        </a:p>
      </xdr:txBody>
    </xdr:sp>
    <xdr:clientData/>
  </xdr:oneCellAnchor>
  <xdr:oneCellAnchor>
    <xdr:from>
      <xdr:col>2</xdr:col>
      <xdr:colOff>38100</xdr:colOff>
      <xdr:row>42</xdr:row>
      <xdr:rowOff>77437</xdr:rowOff>
    </xdr:from>
    <xdr:ext cx="529119" cy="344838"/>
    <xdr:sp macro="" textlink="">
      <xdr:nvSpPr>
        <xdr:cNvPr id="43" name="TextBox 42">
          <a:extLst>
            <a:ext uri="{FF2B5EF4-FFF2-40B4-BE49-F238E27FC236}">
              <a16:creationId xmlns:a16="http://schemas.microsoft.com/office/drawing/2014/main" id="{FF240FE3-3C35-0196-5E20-C13AF45D2379}"/>
            </a:ext>
          </a:extLst>
        </xdr:cNvPr>
        <xdr:cNvSpPr txBox="1"/>
      </xdr:nvSpPr>
      <xdr:spPr>
        <a:xfrm>
          <a:off x="1257300" y="8126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574</a:t>
          </a:r>
        </a:p>
        <a:p>
          <a:pPr algn="ctr"/>
          <a:r>
            <a:rPr lang="en-US" sz="1100"/>
            <a:t>Feet</a:t>
          </a:r>
        </a:p>
      </xdr:txBody>
    </xdr:sp>
    <xdr:clientData/>
  </xdr:oneCellAnchor>
  <xdr:oneCellAnchor>
    <xdr:from>
      <xdr:col>2</xdr:col>
      <xdr:colOff>495300</xdr:colOff>
      <xdr:row>43</xdr:row>
      <xdr:rowOff>66675</xdr:rowOff>
    </xdr:from>
    <xdr:ext cx="1059649" cy="781240"/>
    <xdr:sp macro="" textlink="">
      <xdr:nvSpPr>
        <xdr:cNvPr id="42" name="TextBox 41">
          <a:extLst>
            <a:ext uri="{FF2B5EF4-FFF2-40B4-BE49-F238E27FC236}">
              <a16:creationId xmlns:a16="http://schemas.microsoft.com/office/drawing/2014/main" id="{6BBDA8AC-F242-2DE4-C6E3-9967BDBC3336}"/>
            </a:ext>
          </a:extLst>
        </xdr:cNvPr>
        <xdr:cNvSpPr txBox="1"/>
      </xdr:nvSpPr>
      <xdr:spPr>
        <a:xfrm>
          <a:off x="1714500" y="830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1603/@003</a:t>
          </a:r>
        </a:p>
        <a:p>
          <a:pPr algn="l"/>
          <a:r>
            <a:rPr lang="en-US" sz="1100"/>
            <a:t>USBM1X4</a:t>
          </a:r>
        </a:p>
        <a:p>
          <a:pPr algn="l"/>
          <a:r>
            <a:rPr lang="en-US" sz="1100"/>
            <a:t>-10.51dBm In</a:t>
          </a:r>
        </a:p>
        <a:p>
          <a:pPr algn="l"/>
          <a:r>
            <a:rPr lang="en-US" sz="1100"/>
            <a:t>-17.75dBm Out</a:t>
          </a:r>
        </a:p>
      </xdr:txBody>
    </xdr:sp>
    <xdr:clientData/>
  </xdr:oneCellAnchor>
  <xdr:oneCellAnchor>
    <xdr:from>
      <xdr:col>2</xdr:col>
      <xdr:colOff>38100</xdr:colOff>
      <xdr:row>37</xdr:row>
      <xdr:rowOff>77437</xdr:rowOff>
    </xdr:from>
    <xdr:ext cx="529119" cy="344838"/>
    <xdr:sp macro="" textlink="">
      <xdr:nvSpPr>
        <xdr:cNvPr id="37" name="TextBox 36">
          <a:extLst>
            <a:ext uri="{FF2B5EF4-FFF2-40B4-BE49-F238E27FC236}">
              <a16:creationId xmlns:a16="http://schemas.microsoft.com/office/drawing/2014/main" id="{29C4D1F7-FB24-BAFE-6E65-03C2E5DAD818}"/>
            </a:ext>
          </a:extLst>
        </xdr:cNvPr>
        <xdr:cNvSpPr txBox="1"/>
      </xdr:nvSpPr>
      <xdr:spPr>
        <a:xfrm>
          <a:off x="1257300" y="717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665</a:t>
          </a:r>
        </a:p>
        <a:p>
          <a:pPr algn="ctr"/>
          <a:r>
            <a:rPr lang="en-US" sz="1100"/>
            <a:t>Feet</a:t>
          </a:r>
        </a:p>
      </xdr:txBody>
    </xdr:sp>
    <xdr:clientData/>
  </xdr:oneCellAnchor>
  <xdr:oneCellAnchor>
    <xdr:from>
      <xdr:col>2</xdr:col>
      <xdr:colOff>495300</xdr:colOff>
      <xdr:row>38</xdr:row>
      <xdr:rowOff>66675</xdr:rowOff>
    </xdr:from>
    <xdr:ext cx="1059649" cy="781240"/>
    <xdr:sp macro="" textlink="">
      <xdr:nvSpPr>
        <xdr:cNvPr id="36" name="TextBox 35">
          <a:extLst>
            <a:ext uri="{FF2B5EF4-FFF2-40B4-BE49-F238E27FC236}">
              <a16:creationId xmlns:a16="http://schemas.microsoft.com/office/drawing/2014/main" id="{287302F6-EB40-4E7D-9F03-41E989530156}"/>
            </a:ext>
          </a:extLst>
        </xdr:cNvPr>
        <xdr:cNvSpPr txBox="1"/>
      </xdr:nvSpPr>
      <xdr:spPr>
        <a:xfrm>
          <a:off x="1714500" y="735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1203/@006</a:t>
          </a:r>
        </a:p>
        <a:p>
          <a:pPr algn="l"/>
          <a:r>
            <a:rPr lang="en-US" sz="1100"/>
            <a:t>USBM1X4</a:t>
          </a:r>
        </a:p>
        <a:p>
          <a:pPr algn="l"/>
          <a:r>
            <a:rPr lang="en-US" sz="1100"/>
            <a:t>-10.42dBm In</a:t>
          </a:r>
        </a:p>
        <a:p>
          <a:pPr algn="l"/>
          <a:r>
            <a:rPr lang="en-US" sz="1100"/>
            <a:t>-17.66dBm Out</a:t>
          </a:r>
        </a:p>
      </xdr:txBody>
    </xdr:sp>
    <xdr:clientData/>
  </xdr:oneCellAnchor>
  <xdr:oneCellAnchor>
    <xdr:from>
      <xdr:col>2</xdr:col>
      <xdr:colOff>38100</xdr:colOff>
      <xdr:row>32</xdr:row>
      <xdr:rowOff>77437</xdr:rowOff>
    </xdr:from>
    <xdr:ext cx="529119" cy="344838"/>
    <xdr:sp macro="" textlink="">
      <xdr:nvSpPr>
        <xdr:cNvPr id="31" name="TextBox 30">
          <a:extLst>
            <a:ext uri="{FF2B5EF4-FFF2-40B4-BE49-F238E27FC236}">
              <a16:creationId xmlns:a16="http://schemas.microsoft.com/office/drawing/2014/main" id="{672AF768-EDA9-B60A-5C4C-26622FAA9D5E}"/>
            </a:ext>
          </a:extLst>
        </xdr:cNvPr>
        <xdr:cNvSpPr txBox="1"/>
      </xdr:nvSpPr>
      <xdr:spPr>
        <a:xfrm>
          <a:off x="1257300" y="622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851</a:t>
          </a:r>
        </a:p>
        <a:p>
          <a:pPr algn="ctr"/>
          <a:r>
            <a:rPr lang="en-US" sz="1100"/>
            <a:t>Feet</a:t>
          </a:r>
        </a:p>
      </xdr:txBody>
    </xdr:sp>
    <xdr:clientData/>
  </xdr:oneCellAnchor>
  <xdr:oneCellAnchor>
    <xdr:from>
      <xdr:col>2</xdr:col>
      <xdr:colOff>495300</xdr:colOff>
      <xdr:row>33</xdr:row>
      <xdr:rowOff>66675</xdr:rowOff>
    </xdr:from>
    <xdr:ext cx="1059649" cy="781240"/>
    <xdr:sp macro="" textlink="">
      <xdr:nvSpPr>
        <xdr:cNvPr id="30" name="TextBox 29">
          <a:extLst>
            <a:ext uri="{FF2B5EF4-FFF2-40B4-BE49-F238E27FC236}">
              <a16:creationId xmlns:a16="http://schemas.microsoft.com/office/drawing/2014/main" id="{C377E047-884F-9DE2-1749-D94C3FBA688C}"/>
            </a:ext>
          </a:extLst>
        </xdr:cNvPr>
        <xdr:cNvSpPr txBox="1"/>
      </xdr:nvSpPr>
      <xdr:spPr>
        <a:xfrm>
          <a:off x="1714500" y="640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1203/@004</a:t>
          </a:r>
        </a:p>
        <a:p>
          <a:pPr algn="l"/>
          <a:r>
            <a:rPr lang="en-US" sz="1100"/>
            <a:t>USBM1X8</a:t>
          </a:r>
        </a:p>
        <a:p>
          <a:pPr algn="l"/>
          <a:r>
            <a:rPr lang="en-US" sz="1100"/>
            <a:t>-10.31dBm In</a:t>
          </a:r>
        </a:p>
        <a:p>
          <a:pPr algn="l"/>
          <a:r>
            <a:rPr lang="en-US" sz="1100"/>
            <a:t>-20.95dBm Out</a:t>
          </a:r>
        </a:p>
      </xdr:txBody>
    </xdr:sp>
    <xdr:clientData/>
  </xdr:oneCellAnchor>
  <xdr:oneCellAnchor>
    <xdr:from>
      <xdr:col>2</xdr:col>
      <xdr:colOff>38100</xdr:colOff>
      <xdr:row>27</xdr:row>
      <xdr:rowOff>77437</xdr:rowOff>
    </xdr:from>
    <xdr:ext cx="529119" cy="344838"/>
    <xdr:sp macro="" textlink="">
      <xdr:nvSpPr>
        <xdr:cNvPr id="25" name="TextBox 24">
          <a:extLst>
            <a:ext uri="{FF2B5EF4-FFF2-40B4-BE49-F238E27FC236}">
              <a16:creationId xmlns:a16="http://schemas.microsoft.com/office/drawing/2014/main" id="{A35CE4E2-B2F4-1DC8-6598-82684E6D28AE}"/>
            </a:ext>
          </a:extLst>
        </xdr:cNvPr>
        <xdr:cNvSpPr txBox="1"/>
      </xdr:nvSpPr>
      <xdr:spPr>
        <a:xfrm>
          <a:off x="1257300" y="526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214</a:t>
          </a:r>
        </a:p>
        <a:p>
          <a:pPr algn="ctr"/>
          <a:r>
            <a:rPr lang="en-US" sz="1100"/>
            <a:t>Feet</a:t>
          </a:r>
        </a:p>
      </xdr:txBody>
    </xdr:sp>
    <xdr:clientData/>
  </xdr:oneCellAnchor>
  <xdr:oneCellAnchor>
    <xdr:from>
      <xdr:col>2</xdr:col>
      <xdr:colOff>495300</xdr:colOff>
      <xdr:row>28</xdr:row>
      <xdr:rowOff>66675</xdr:rowOff>
    </xdr:from>
    <xdr:ext cx="1059649" cy="781240"/>
    <xdr:sp macro="" textlink="">
      <xdr:nvSpPr>
        <xdr:cNvPr id="24" name="TextBox 23">
          <a:extLst>
            <a:ext uri="{FF2B5EF4-FFF2-40B4-BE49-F238E27FC236}">
              <a16:creationId xmlns:a16="http://schemas.microsoft.com/office/drawing/2014/main" id="{0C692FBE-DC59-FA24-6217-299BC0B89E95}"/>
            </a:ext>
          </a:extLst>
        </xdr:cNvPr>
        <xdr:cNvSpPr txBox="1"/>
      </xdr:nvSpPr>
      <xdr:spPr>
        <a:xfrm>
          <a:off x="1714500" y="544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1203/@001</a:t>
          </a:r>
        </a:p>
        <a:p>
          <a:pPr algn="l"/>
          <a:r>
            <a:rPr lang="en-US" sz="1100"/>
            <a:t>USBM1X8</a:t>
          </a:r>
        </a:p>
        <a:p>
          <a:pPr algn="l"/>
          <a:r>
            <a:rPr lang="en-US" sz="1100"/>
            <a:t>-10.19dBm In</a:t>
          </a:r>
        </a:p>
        <a:p>
          <a:pPr algn="l"/>
          <a:r>
            <a:rPr lang="en-US" sz="1100"/>
            <a:t>-20.83dBm Out</a:t>
          </a:r>
        </a:p>
      </xdr:txBody>
    </xdr:sp>
    <xdr:clientData/>
  </xdr:oneCellAnchor>
  <xdr:oneCellAnchor>
    <xdr:from>
      <xdr:col>2</xdr:col>
      <xdr:colOff>38100</xdr:colOff>
      <xdr:row>22</xdr:row>
      <xdr:rowOff>77437</xdr:rowOff>
    </xdr:from>
    <xdr:ext cx="529119" cy="344838"/>
    <xdr:sp macro="" textlink="">
      <xdr:nvSpPr>
        <xdr:cNvPr id="21" name="TextBox 20">
          <a:extLst>
            <a:ext uri="{FF2B5EF4-FFF2-40B4-BE49-F238E27FC236}">
              <a16:creationId xmlns:a16="http://schemas.microsoft.com/office/drawing/2014/main" id="{DDEA0FB0-FDBD-CE21-B6C7-08CE5ACEF7F7}"/>
            </a:ext>
          </a:extLst>
        </xdr:cNvPr>
        <xdr:cNvSpPr txBox="1"/>
      </xdr:nvSpPr>
      <xdr:spPr>
        <a:xfrm>
          <a:off x="1257300" y="4316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516</a:t>
          </a:r>
        </a:p>
        <a:p>
          <a:pPr algn="ctr"/>
          <a:r>
            <a:rPr lang="en-US" sz="1100"/>
            <a:t>Feet</a:t>
          </a:r>
        </a:p>
      </xdr:txBody>
    </xdr:sp>
    <xdr:clientData/>
  </xdr:oneCellAnchor>
  <xdr:oneCellAnchor>
    <xdr:from>
      <xdr:col>2</xdr:col>
      <xdr:colOff>495300</xdr:colOff>
      <xdr:row>23</xdr:row>
      <xdr:rowOff>66675</xdr:rowOff>
    </xdr:from>
    <xdr:ext cx="1059649" cy="781240"/>
    <xdr:sp macro="" textlink="">
      <xdr:nvSpPr>
        <xdr:cNvPr id="20" name="TextBox 19">
          <a:extLst>
            <a:ext uri="{FF2B5EF4-FFF2-40B4-BE49-F238E27FC236}">
              <a16:creationId xmlns:a16="http://schemas.microsoft.com/office/drawing/2014/main" id="{FFC7E981-FF39-640C-0FC6-025D5EF84620}"/>
            </a:ext>
          </a:extLst>
        </xdr:cNvPr>
        <xdr:cNvSpPr txBox="1"/>
      </xdr:nvSpPr>
      <xdr:spPr>
        <a:xfrm>
          <a:off x="1714500" y="449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1097/628</a:t>
          </a:r>
        </a:p>
        <a:p>
          <a:pPr algn="l"/>
          <a:r>
            <a:rPr lang="en-US" sz="1100"/>
            <a:t>N/A</a:t>
          </a:r>
        </a:p>
        <a:p>
          <a:pPr algn="l"/>
          <a:r>
            <a:rPr lang="en-US" sz="1100"/>
            <a:t>-10.13dBm In</a:t>
          </a:r>
        </a:p>
        <a:p>
          <a:pPr algn="l"/>
          <a:r>
            <a:rPr lang="en-US" sz="1100"/>
            <a:t>-10.17dBm Out</a:t>
          </a:r>
        </a:p>
      </xdr:txBody>
    </xdr:sp>
    <xdr:clientData/>
  </xdr:oneCellAnchor>
  <xdr:oneCellAnchor>
    <xdr:from>
      <xdr:col>2</xdr:col>
      <xdr:colOff>38100</xdr:colOff>
      <xdr:row>17</xdr:row>
      <xdr:rowOff>77437</xdr:rowOff>
    </xdr:from>
    <xdr:ext cx="529119" cy="344838"/>
    <xdr:sp macro="" textlink="">
      <xdr:nvSpPr>
        <xdr:cNvPr id="15" name="TextBox 14">
          <a:extLst>
            <a:ext uri="{FF2B5EF4-FFF2-40B4-BE49-F238E27FC236}">
              <a16:creationId xmlns:a16="http://schemas.microsoft.com/office/drawing/2014/main" id="{0E8E59E9-43B1-18C4-907C-CFFE938E00AE}"/>
            </a:ext>
          </a:extLst>
        </xdr:cNvPr>
        <xdr:cNvSpPr txBox="1"/>
      </xdr:nvSpPr>
      <xdr:spPr>
        <a:xfrm>
          <a:off x="1257300" y="336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190</a:t>
          </a:r>
        </a:p>
        <a:p>
          <a:pPr algn="ctr"/>
          <a:r>
            <a:rPr lang="en-US" sz="1100"/>
            <a:t>Feet</a:t>
          </a:r>
        </a:p>
      </xdr:txBody>
    </xdr:sp>
    <xdr:clientData/>
  </xdr:oneCellAnchor>
  <xdr:oneCellAnchor>
    <xdr:from>
      <xdr:col>2</xdr:col>
      <xdr:colOff>495300</xdr:colOff>
      <xdr:row>18</xdr:row>
      <xdr:rowOff>66675</xdr:rowOff>
    </xdr:from>
    <xdr:ext cx="1059649" cy="781240"/>
    <xdr:sp macro="" textlink="">
      <xdr:nvSpPr>
        <xdr:cNvPr id="14" name="TextBox 13">
          <a:extLst>
            <a:ext uri="{FF2B5EF4-FFF2-40B4-BE49-F238E27FC236}">
              <a16:creationId xmlns:a16="http://schemas.microsoft.com/office/drawing/2014/main" id="{FD2DBD17-094E-3FB1-434D-7802D3857EF7}"/>
            </a:ext>
          </a:extLst>
        </xdr:cNvPr>
        <xdr:cNvSpPr txBox="1"/>
      </xdr:nvSpPr>
      <xdr:spPr>
        <a:xfrm>
          <a:off x="1714500" y="354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1097/@125</a:t>
          </a:r>
        </a:p>
        <a:p>
          <a:pPr algn="l"/>
          <a:r>
            <a:rPr lang="en-US" sz="1100"/>
            <a:t>USBM1X4</a:t>
          </a:r>
        </a:p>
        <a:p>
          <a:pPr algn="l"/>
          <a:r>
            <a:rPr lang="en-US" sz="1100"/>
            <a:t>-10.04dBm In</a:t>
          </a:r>
        </a:p>
        <a:p>
          <a:pPr algn="l"/>
          <a:r>
            <a:rPr lang="en-US" sz="1100"/>
            <a:t>-17.28dBm Out</a:t>
          </a:r>
        </a:p>
      </xdr:txBody>
    </xdr:sp>
    <xdr:clientData/>
  </xdr:oneCellAnchor>
  <xdr:oneCellAnchor>
    <xdr:from>
      <xdr:col>2</xdr:col>
      <xdr:colOff>38100</xdr:colOff>
      <xdr:row>12</xdr:row>
      <xdr:rowOff>77437</xdr:rowOff>
    </xdr:from>
    <xdr:ext cx="529119" cy="344838"/>
    <xdr:sp macro="" textlink="">
      <xdr:nvSpPr>
        <xdr:cNvPr id="11" name="TextBox 10">
          <a:extLst>
            <a:ext uri="{FF2B5EF4-FFF2-40B4-BE49-F238E27FC236}">
              <a16:creationId xmlns:a16="http://schemas.microsoft.com/office/drawing/2014/main" id="{620C45E2-A4DF-B6F2-7B67-904AE24ABDD0}"/>
            </a:ext>
          </a:extLst>
        </xdr:cNvPr>
        <xdr:cNvSpPr txBox="1"/>
      </xdr:nvSpPr>
      <xdr:spPr>
        <a:xfrm>
          <a:off x="1257300" y="241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120</a:t>
          </a:r>
        </a:p>
        <a:p>
          <a:pPr algn="ctr"/>
          <a:r>
            <a:rPr lang="en-US" sz="1100"/>
            <a:t>Feet</a:t>
          </a:r>
        </a:p>
      </xdr:txBody>
    </xdr:sp>
    <xdr:clientData/>
  </xdr:oneCellAnchor>
  <xdr:oneCellAnchor>
    <xdr:from>
      <xdr:col>2</xdr:col>
      <xdr:colOff>495300</xdr:colOff>
      <xdr:row>13</xdr:row>
      <xdr:rowOff>66675</xdr:rowOff>
    </xdr:from>
    <xdr:ext cx="1059649" cy="781240"/>
    <xdr:sp macro="" textlink="">
      <xdr:nvSpPr>
        <xdr:cNvPr id="10" name="TextBox 9">
          <a:extLst>
            <a:ext uri="{FF2B5EF4-FFF2-40B4-BE49-F238E27FC236}">
              <a16:creationId xmlns:a16="http://schemas.microsoft.com/office/drawing/2014/main" id="{942BE0F7-318F-75A9-0AB7-C5DEBAA7FD2F}"/>
            </a:ext>
          </a:extLst>
        </xdr:cNvPr>
        <xdr:cNvSpPr txBox="1"/>
      </xdr:nvSpPr>
      <xdr:spPr>
        <a:xfrm>
          <a:off x="1714500" y="259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1097/124</a:t>
          </a:r>
        </a:p>
        <a:p>
          <a:pPr algn="l"/>
          <a:r>
            <a:rPr lang="en-US" sz="1100"/>
            <a:t>N/A</a:t>
          </a:r>
        </a:p>
        <a:p>
          <a:pPr algn="l"/>
          <a:r>
            <a:rPr lang="en-US" sz="1100"/>
            <a:t>-9.99dBm In</a:t>
          </a:r>
        </a:p>
        <a:p>
          <a:pPr algn="l"/>
          <a:r>
            <a:rPr lang="en-US" sz="1100"/>
            <a:t>-10.02dBm Out</a:t>
          </a:r>
        </a:p>
      </xdr:txBody>
    </xdr:sp>
    <xdr:clientData/>
  </xdr:oneCellAnchor>
  <xdr:oneCellAnchor>
    <xdr:from>
      <xdr:col>2</xdr:col>
      <xdr:colOff>38100</xdr:colOff>
      <xdr:row>6</xdr:row>
      <xdr:rowOff>166337</xdr:rowOff>
    </xdr:from>
    <xdr:ext cx="529119" cy="344838"/>
    <xdr:sp macro="" textlink="">
      <xdr:nvSpPr>
        <xdr:cNvPr id="6" name="TextBox 5">
          <a:extLst>
            <a:ext uri="{FF2B5EF4-FFF2-40B4-BE49-F238E27FC236}">
              <a16:creationId xmlns:a16="http://schemas.microsoft.com/office/drawing/2014/main" id="{DB1CCEA9-70C5-6043-B4BE-35A428767DD8}"/>
            </a:ext>
          </a:extLst>
        </xdr:cNvPr>
        <xdr:cNvSpPr txBox="1"/>
      </xdr:nvSpPr>
      <xdr:spPr>
        <a:xfrm>
          <a:off x="1257300" y="13569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200</a:t>
          </a:r>
        </a:p>
        <a:p>
          <a:pPr algn="ctr"/>
          <a:r>
            <a:rPr lang="en-US" sz="1100"/>
            <a:t>Feet</a:t>
          </a:r>
        </a:p>
      </xdr:txBody>
    </xdr:sp>
    <xdr:clientData/>
  </xdr:oneCellAnchor>
  <xdr:twoCellAnchor>
    <xdr:from>
      <xdr:col>2</xdr:col>
      <xdr:colOff>0</xdr:colOff>
      <xdr:row>3</xdr:row>
      <xdr:rowOff>79375</xdr:rowOff>
    </xdr:from>
    <xdr:to>
      <xdr:col>3</xdr:col>
      <xdr:colOff>0</xdr:colOff>
      <xdr:row>6</xdr:row>
      <xdr:rowOff>15875</xdr:rowOff>
    </xdr:to>
    <xdr:sp macro="" textlink="">
      <xdr:nvSpPr>
        <xdr:cNvPr id="2" name="sym_OLT">
          <a:extLst>
            <a:ext uri="{FF2B5EF4-FFF2-40B4-BE49-F238E27FC236}">
              <a16:creationId xmlns:a16="http://schemas.microsoft.com/office/drawing/2014/main" id="{38E64D6B-7E8A-F234-E148-80059F4ABEFF}"/>
            </a:ext>
          </a:extLst>
        </xdr:cNvPr>
        <xdr:cNvSpPr/>
      </xdr:nvSpPr>
      <xdr:spPr>
        <a:xfrm>
          <a:off x="1219200" y="698500"/>
          <a:ext cx="609600" cy="508000"/>
        </a:xfrm>
        <a:prstGeom prst="hex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OLT</a:t>
          </a:r>
        </a:p>
        <a:p>
          <a:pPr algn="ctr"/>
          <a:r>
            <a:rPr lang="en-US" sz="1100"/>
            <a:t>Port</a:t>
          </a:r>
        </a:p>
      </xdr:txBody>
    </xdr:sp>
    <xdr:clientData/>
  </xdr:twoCellAnchor>
  <xdr:oneCellAnchor>
    <xdr:from>
      <xdr:col>1</xdr:col>
      <xdr:colOff>279400</xdr:colOff>
      <xdr:row>1</xdr:row>
      <xdr:rowOff>142875</xdr:rowOff>
    </xdr:from>
    <xdr:ext cx="1378454" cy="264560"/>
    <xdr:sp macro="" textlink="">
      <xdr:nvSpPr>
        <xdr:cNvPr id="3" name="txt_OLT">
          <a:extLst>
            <a:ext uri="{FF2B5EF4-FFF2-40B4-BE49-F238E27FC236}">
              <a16:creationId xmlns:a16="http://schemas.microsoft.com/office/drawing/2014/main" id="{0962E4F6-462E-2128-1825-5CBE4CC9986D}"/>
            </a:ext>
          </a:extLst>
        </xdr:cNvPr>
        <xdr:cNvSpPr txBox="1"/>
      </xdr:nvSpPr>
      <xdr:spPr>
        <a:xfrm>
          <a:off x="889000" y="381000"/>
          <a:ext cx="1378454"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ctr"/>
          <a:r>
            <a:rPr lang="en-US" sz="1100"/>
            <a:t>Output Power = 3.25</a:t>
          </a:r>
        </a:p>
      </xdr:txBody>
    </xdr:sp>
    <xdr:clientData/>
  </xdr:oneCellAnchor>
  <xdr:twoCellAnchor>
    <xdr:from>
      <xdr:col>1</xdr:col>
      <xdr:colOff>304800</xdr:colOff>
      <xdr:row>9</xdr:row>
      <xdr:rowOff>3175</xdr:rowOff>
    </xdr:from>
    <xdr:to>
      <xdr:col>3</xdr:col>
      <xdr:colOff>304800</xdr:colOff>
      <xdr:row>11</xdr:row>
      <xdr:rowOff>130175</xdr:rowOff>
    </xdr:to>
    <xdr:sp macro="" textlink="">
      <xdr:nvSpPr>
        <xdr:cNvPr id="4" name="sym_LS">
          <a:extLst>
            <a:ext uri="{FF2B5EF4-FFF2-40B4-BE49-F238E27FC236}">
              <a16:creationId xmlns:a16="http://schemas.microsoft.com/office/drawing/2014/main" id="{0E327586-CB96-2C5B-6A66-3A705164F72A}"/>
            </a:ext>
          </a:extLst>
        </xdr:cNvPr>
        <xdr:cNvSpPr/>
      </xdr:nvSpPr>
      <xdr:spPr>
        <a:xfrm>
          <a:off x="914400" y="1765300"/>
          <a:ext cx="1219200" cy="508000"/>
        </a:xfrm>
        <a:prstGeom prst="su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1x16</a:t>
          </a:r>
        </a:p>
      </xdr:txBody>
    </xdr:sp>
    <xdr:clientData/>
  </xdr:twoCellAnchor>
  <xdr:twoCellAnchor>
    <xdr:from>
      <xdr:col>2</xdr:col>
      <xdr:colOff>304800</xdr:colOff>
      <xdr:row>6</xdr:row>
      <xdr:rowOff>15875</xdr:rowOff>
    </xdr:from>
    <xdr:to>
      <xdr:col>2</xdr:col>
      <xdr:colOff>304800</xdr:colOff>
      <xdr:row>9</xdr:row>
      <xdr:rowOff>15875</xdr:rowOff>
    </xdr:to>
    <xdr:cxnSp macro="">
      <xdr:nvCxnSpPr>
        <xdr:cNvPr id="5" name="lin_Splitter 1_Feeder">
          <a:extLst>
            <a:ext uri="{FF2B5EF4-FFF2-40B4-BE49-F238E27FC236}">
              <a16:creationId xmlns:a16="http://schemas.microsoft.com/office/drawing/2014/main" id="{2E744ACE-3A31-1A73-11C6-203904102A72}"/>
            </a:ext>
          </a:extLst>
        </xdr:cNvPr>
        <xdr:cNvCxnSpPr/>
      </xdr:nvCxnSpPr>
      <xdr:spPr>
        <a:xfrm>
          <a:off x="1524000" y="12065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304800</xdr:colOff>
      <xdr:row>9</xdr:row>
      <xdr:rowOff>130175</xdr:rowOff>
    </xdr:from>
    <xdr:ext cx="988156" cy="264560"/>
    <xdr:sp macro="" textlink="">
      <xdr:nvSpPr>
        <xdr:cNvPr id="7" name="txt_LS">
          <a:extLst>
            <a:ext uri="{FF2B5EF4-FFF2-40B4-BE49-F238E27FC236}">
              <a16:creationId xmlns:a16="http://schemas.microsoft.com/office/drawing/2014/main" id="{DB28FB77-3562-E851-2849-F00958B54724}"/>
            </a:ext>
          </a:extLst>
        </xdr:cNvPr>
        <xdr:cNvSpPr txBox="1"/>
      </xdr:nvSpPr>
      <xdr:spPr>
        <a:xfrm>
          <a:off x="2133600" y="1892300"/>
          <a:ext cx="988156"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ctr"/>
          <a:r>
            <a:rPr lang="en-US" sz="1100"/>
            <a:t>-9.94dBm Out</a:t>
          </a:r>
        </a:p>
      </xdr:txBody>
    </xdr:sp>
    <xdr:clientData/>
  </xdr:oneCellAnchor>
  <xdr:twoCellAnchor>
    <xdr:from>
      <xdr:col>2</xdr:col>
      <xdr:colOff>114300</xdr:colOff>
      <xdr:row>14</xdr:row>
      <xdr:rowOff>66675</xdr:rowOff>
    </xdr:from>
    <xdr:to>
      <xdr:col>2</xdr:col>
      <xdr:colOff>495300</xdr:colOff>
      <xdr:row>16</xdr:row>
      <xdr:rowOff>66675</xdr:rowOff>
    </xdr:to>
    <xdr:sp macro="" textlink="">
      <xdr:nvSpPr>
        <xdr:cNvPr id="8" name="sym_Splitter 1_8" descr="Splitter 4~11">
          <a:extLst>
            <a:ext uri="{FF2B5EF4-FFF2-40B4-BE49-F238E27FC236}">
              <a16:creationId xmlns:a16="http://schemas.microsoft.com/office/drawing/2014/main" id="{2AD8AA70-6E7A-27DC-3BBB-625D4D59BB78}"/>
            </a:ext>
          </a:extLst>
        </xdr:cNvPr>
        <xdr:cNvSpPr/>
      </xdr:nvSpPr>
      <xdr:spPr>
        <a:xfrm>
          <a:off x="1333500" y="278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2</xdr:col>
      <xdr:colOff>304800</xdr:colOff>
      <xdr:row>11</xdr:row>
      <xdr:rowOff>130175</xdr:rowOff>
    </xdr:from>
    <xdr:to>
      <xdr:col>2</xdr:col>
      <xdr:colOff>304800</xdr:colOff>
      <xdr:row>14</xdr:row>
      <xdr:rowOff>130175</xdr:rowOff>
    </xdr:to>
    <xdr:cxnSp macro="">
      <xdr:nvCxnSpPr>
        <xdr:cNvPr id="9" name="lin_Splitter 1_8">
          <a:extLst>
            <a:ext uri="{FF2B5EF4-FFF2-40B4-BE49-F238E27FC236}">
              <a16:creationId xmlns:a16="http://schemas.microsoft.com/office/drawing/2014/main" id="{852D9D85-083A-514F-B728-95D3D4CB57A5}"/>
            </a:ext>
          </a:extLst>
        </xdr:cNvPr>
        <xdr:cNvCxnSpPr/>
      </xdr:nvCxnSpPr>
      <xdr:spPr>
        <a:xfrm>
          <a:off x="1524000" y="2273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19</xdr:row>
      <xdr:rowOff>66675</xdr:rowOff>
    </xdr:from>
    <xdr:to>
      <xdr:col>2</xdr:col>
      <xdr:colOff>495300</xdr:colOff>
      <xdr:row>21</xdr:row>
      <xdr:rowOff>66675</xdr:rowOff>
    </xdr:to>
    <xdr:sp macro="" textlink="">
      <xdr:nvSpPr>
        <xdr:cNvPr id="12" name="sym_Splitter 1_9">
          <a:extLst>
            <a:ext uri="{FF2B5EF4-FFF2-40B4-BE49-F238E27FC236}">
              <a16:creationId xmlns:a16="http://schemas.microsoft.com/office/drawing/2014/main" id="{0894AB4B-96F8-4A94-3C78-066D9A6D9BEA}"/>
            </a:ext>
          </a:extLst>
        </xdr:cNvPr>
        <xdr:cNvSpPr/>
      </xdr:nvSpPr>
      <xdr:spPr>
        <a:xfrm>
          <a:off x="1333500" y="373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2</a:t>
          </a:r>
        </a:p>
      </xdr:txBody>
    </xdr:sp>
    <xdr:clientData/>
  </xdr:twoCellAnchor>
  <xdr:twoCellAnchor>
    <xdr:from>
      <xdr:col>2</xdr:col>
      <xdr:colOff>304800</xdr:colOff>
      <xdr:row>16</xdr:row>
      <xdr:rowOff>66675</xdr:rowOff>
    </xdr:from>
    <xdr:to>
      <xdr:col>2</xdr:col>
      <xdr:colOff>304800</xdr:colOff>
      <xdr:row>19</xdr:row>
      <xdr:rowOff>66675</xdr:rowOff>
    </xdr:to>
    <xdr:cxnSp macro="">
      <xdr:nvCxnSpPr>
        <xdr:cNvPr id="13" name="lin_Splitter 1_9">
          <a:extLst>
            <a:ext uri="{FF2B5EF4-FFF2-40B4-BE49-F238E27FC236}">
              <a16:creationId xmlns:a16="http://schemas.microsoft.com/office/drawing/2014/main" id="{D08C3CBB-0D68-4202-4D9D-A81C75BC74EC}"/>
            </a:ext>
          </a:extLst>
        </xdr:cNvPr>
        <xdr:cNvCxnSpPr/>
      </xdr:nvCxnSpPr>
      <xdr:spPr>
        <a:xfrm>
          <a:off x="1524000" y="316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20</xdr:row>
      <xdr:rowOff>66675</xdr:rowOff>
    </xdr:from>
    <xdr:to>
      <xdr:col>1</xdr:col>
      <xdr:colOff>326981</xdr:colOff>
      <xdr:row>22</xdr:row>
      <xdr:rowOff>30128</xdr:rowOff>
    </xdr:to>
    <xdr:sp macro="" textlink="">
      <xdr:nvSpPr>
        <xdr:cNvPr id="16" name="Rectangle 15">
          <a:extLst>
            <a:ext uri="{FF2B5EF4-FFF2-40B4-BE49-F238E27FC236}">
              <a16:creationId xmlns:a16="http://schemas.microsoft.com/office/drawing/2014/main" id="{B1C6EC8A-9BC1-49A9-0321-E86520E0DBA0}"/>
            </a:ext>
          </a:extLst>
        </xdr:cNvPr>
        <xdr:cNvSpPr/>
      </xdr:nvSpPr>
      <xdr:spPr>
        <a:xfrm>
          <a:off x="282619" y="3924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-17.64dBm</a:t>
          </a:r>
        </a:p>
      </xdr:txBody>
    </xdr:sp>
    <xdr:clientData/>
  </xdr:twoCellAnchor>
  <xdr:twoCellAnchor>
    <xdr:from>
      <xdr:col>1</xdr:col>
      <xdr:colOff>326981</xdr:colOff>
      <xdr:row>20</xdr:row>
      <xdr:rowOff>66675</xdr:rowOff>
    </xdr:from>
    <xdr:to>
      <xdr:col>2</xdr:col>
      <xdr:colOff>114300</xdr:colOff>
      <xdr:row>20</xdr:row>
      <xdr:rowOff>66675</xdr:rowOff>
    </xdr:to>
    <xdr:cxnSp macro="">
      <xdr:nvCxnSpPr>
        <xdr:cNvPr id="17" name="Straight Arrow Connector 16">
          <a:extLst>
            <a:ext uri="{FF2B5EF4-FFF2-40B4-BE49-F238E27FC236}">
              <a16:creationId xmlns:a16="http://schemas.microsoft.com/office/drawing/2014/main" id="{ACC3469C-416C-257B-6C8A-AE7D02DB0C1A}"/>
            </a:ext>
          </a:extLst>
        </xdr:cNvPr>
        <xdr:cNvCxnSpPr/>
      </xdr:nvCxnSpPr>
      <xdr:spPr>
        <a:xfrm>
          <a:off x="936581" y="3924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24</xdr:row>
      <xdr:rowOff>66675</xdr:rowOff>
    </xdr:from>
    <xdr:to>
      <xdr:col>2</xdr:col>
      <xdr:colOff>495300</xdr:colOff>
      <xdr:row>26</xdr:row>
      <xdr:rowOff>66675</xdr:rowOff>
    </xdr:to>
    <xdr:sp macro="" textlink="">
      <xdr:nvSpPr>
        <xdr:cNvPr id="18" name="sym_Splitter 1_10">
          <a:extLst>
            <a:ext uri="{FF2B5EF4-FFF2-40B4-BE49-F238E27FC236}">
              <a16:creationId xmlns:a16="http://schemas.microsoft.com/office/drawing/2014/main" id="{AAC4D5A4-ADB2-64BB-B68B-B4CCEA1CC0A9}"/>
            </a:ext>
          </a:extLst>
        </xdr:cNvPr>
        <xdr:cNvSpPr/>
      </xdr:nvSpPr>
      <xdr:spPr>
        <a:xfrm>
          <a:off x="1333500" y="468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3</a:t>
          </a:r>
        </a:p>
      </xdr:txBody>
    </xdr:sp>
    <xdr:clientData/>
  </xdr:twoCellAnchor>
  <xdr:twoCellAnchor>
    <xdr:from>
      <xdr:col>2</xdr:col>
      <xdr:colOff>304800</xdr:colOff>
      <xdr:row>21</xdr:row>
      <xdr:rowOff>66675</xdr:rowOff>
    </xdr:from>
    <xdr:to>
      <xdr:col>2</xdr:col>
      <xdr:colOff>304800</xdr:colOff>
      <xdr:row>24</xdr:row>
      <xdr:rowOff>66675</xdr:rowOff>
    </xdr:to>
    <xdr:cxnSp macro="">
      <xdr:nvCxnSpPr>
        <xdr:cNvPr id="19" name="lin_Splitter 1_10">
          <a:extLst>
            <a:ext uri="{FF2B5EF4-FFF2-40B4-BE49-F238E27FC236}">
              <a16:creationId xmlns:a16="http://schemas.microsoft.com/office/drawing/2014/main" id="{979EC4B5-F7F1-C152-9F5A-3B45E2E7E22A}"/>
            </a:ext>
          </a:extLst>
        </xdr:cNvPr>
        <xdr:cNvCxnSpPr/>
      </xdr:nvCxnSpPr>
      <xdr:spPr>
        <a:xfrm>
          <a:off x="1524000" y="4114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29</xdr:row>
      <xdr:rowOff>66675</xdr:rowOff>
    </xdr:from>
    <xdr:to>
      <xdr:col>2</xdr:col>
      <xdr:colOff>495300</xdr:colOff>
      <xdr:row>31</xdr:row>
      <xdr:rowOff>66675</xdr:rowOff>
    </xdr:to>
    <xdr:sp macro="" textlink="">
      <xdr:nvSpPr>
        <xdr:cNvPr id="22" name="sym_Splitter 1_11">
          <a:extLst>
            <a:ext uri="{FF2B5EF4-FFF2-40B4-BE49-F238E27FC236}">
              <a16:creationId xmlns:a16="http://schemas.microsoft.com/office/drawing/2014/main" id="{076513CA-E427-FAA3-2343-49473C4A392A}"/>
            </a:ext>
          </a:extLst>
        </xdr:cNvPr>
        <xdr:cNvSpPr/>
      </xdr:nvSpPr>
      <xdr:spPr>
        <a:xfrm>
          <a:off x="1333500" y="563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4</a:t>
          </a:r>
        </a:p>
      </xdr:txBody>
    </xdr:sp>
    <xdr:clientData/>
  </xdr:twoCellAnchor>
  <xdr:twoCellAnchor>
    <xdr:from>
      <xdr:col>2</xdr:col>
      <xdr:colOff>304800</xdr:colOff>
      <xdr:row>26</xdr:row>
      <xdr:rowOff>66675</xdr:rowOff>
    </xdr:from>
    <xdr:to>
      <xdr:col>2</xdr:col>
      <xdr:colOff>304800</xdr:colOff>
      <xdr:row>29</xdr:row>
      <xdr:rowOff>66675</xdr:rowOff>
    </xdr:to>
    <xdr:cxnSp macro="">
      <xdr:nvCxnSpPr>
        <xdr:cNvPr id="23" name="lin_Splitter 1_11">
          <a:extLst>
            <a:ext uri="{FF2B5EF4-FFF2-40B4-BE49-F238E27FC236}">
              <a16:creationId xmlns:a16="http://schemas.microsoft.com/office/drawing/2014/main" id="{F35C48D6-7644-CD08-EDBA-0789C170D02D}"/>
            </a:ext>
          </a:extLst>
        </xdr:cNvPr>
        <xdr:cNvCxnSpPr/>
      </xdr:nvCxnSpPr>
      <xdr:spPr>
        <a:xfrm>
          <a:off x="1524000" y="506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30</xdr:row>
      <xdr:rowOff>66675</xdr:rowOff>
    </xdr:from>
    <xdr:to>
      <xdr:col>1</xdr:col>
      <xdr:colOff>326981</xdr:colOff>
      <xdr:row>32</xdr:row>
      <xdr:rowOff>30128</xdr:rowOff>
    </xdr:to>
    <xdr:sp macro="" textlink="">
      <xdr:nvSpPr>
        <xdr:cNvPr id="26" name="Rectangle 25">
          <a:extLst>
            <a:ext uri="{FF2B5EF4-FFF2-40B4-BE49-F238E27FC236}">
              <a16:creationId xmlns:a16="http://schemas.microsoft.com/office/drawing/2014/main" id="{0BF1C5A0-BF07-5E85-A9F2-B2EA8DA30A25}"/>
            </a:ext>
          </a:extLst>
        </xdr:cNvPr>
        <xdr:cNvSpPr/>
      </xdr:nvSpPr>
      <xdr:spPr>
        <a:xfrm>
          <a:off x="282619" y="582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-21.18dBm</a:t>
          </a:r>
        </a:p>
      </xdr:txBody>
    </xdr:sp>
    <xdr:clientData/>
  </xdr:twoCellAnchor>
  <xdr:twoCellAnchor>
    <xdr:from>
      <xdr:col>1</xdr:col>
      <xdr:colOff>326981</xdr:colOff>
      <xdr:row>30</xdr:row>
      <xdr:rowOff>66675</xdr:rowOff>
    </xdr:from>
    <xdr:to>
      <xdr:col>2</xdr:col>
      <xdr:colOff>114300</xdr:colOff>
      <xdr:row>30</xdr:row>
      <xdr:rowOff>66675</xdr:rowOff>
    </xdr:to>
    <xdr:cxnSp macro="">
      <xdr:nvCxnSpPr>
        <xdr:cNvPr id="27" name="Straight Arrow Connector 26">
          <a:extLst>
            <a:ext uri="{FF2B5EF4-FFF2-40B4-BE49-F238E27FC236}">
              <a16:creationId xmlns:a16="http://schemas.microsoft.com/office/drawing/2014/main" id="{18590156-DEDE-EC24-BFE1-ED09D13B99C4}"/>
            </a:ext>
          </a:extLst>
        </xdr:cNvPr>
        <xdr:cNvCxnSpPr/>
      </xdr:nvCxnSpPr>
      <xdr:spPr>
        <a:xfrm>
          <a:off x="936581" y="5829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34</xdr:row>
      <xdr:rowOff>66675</xdr:rowOff>
    </xdr:from>
    <xdr:to>
      <xdr:col>2</xdr:col>
      <xdr:colOff>495300</xdr:colOff>
      <xdr:row>36</xdr:row>
      <xdr:rowOff>66675</xdr:rowOff>
    </xdr:to>
    <xdr:sp macro="" textlink="">
      <xdr:nvSpPr>
        <xdr:cNvPr id="28" name="sym_Splitter 1_12">
          <a:extLst>
            <a:ext uri="{FF2B5EF4-FFF2-40B4-BE49-F238E27FC236}">
              <a16:creationId xmlns:a16="http://schemas.microsoft.com/office/drawing/2014/main" id="{8FCC768F-3A06-6213-E5DF-0668DA9559F8}"/>
            </a:ext>
          </a:extLst>
        </xdr:cNvPr>
        <xdr:cNvSpPr/>
      </xdr:nvSpPr>
      <xdr:spPr>
        <a:xfrm>
          <a:off x="1333500" y="659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5</a:t>
          </a:r>
        </a:p>
      </xdr:txBody>
    </xdr:sp>
    <xdr:clientData/>
  </xdr:twoCellAnchor>
  <xdr:twoCellAnchor>
    <xdr:from>
      <xdr:col>2</xdr:col>
      <xdr:colOff>304800</xdr:colOff>
      <xdr:row>31</xdr:row>
      <xdr:rowOff>66675</xdr:rowOff>
    </xdr:from>
    <xdr:to>
      <xdr:col>2</xdr:col>
      <xdr:colOff>304800</xdr:colOff>
      <xdr:row>34</xdr:row>
      <xdr:rowOff>66675</xdr:rowOff>
    </xdr:to>
    <xdr:cxnSp macro="">
      <xdr:nvCxnSpPr>
        <xdr:cNvPr id="29" name="lin_Splitter 1_12">
          <a:extLst>
            <a:ext uri="{FF2B5EF4-FFF2-40B4-BE49-F238E27FC236}">
              <a16:creationId xmlns:a16="http://schemas.microsoft.com/office/drawing/2014/main" id="{E30DEB82-8EF9-55C3-FC9C-8E63D451004B}"/>
            </a:ext>
          </a:extLst>
        </xdr:cNvPr>
        <xdr:cNvCxnSpPr/>
      </xdr:nvCxnSpPr>
      <xdr:spPr>
        <a:xfrm>
          <a:off x="1524000" y="6019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35</xdr:row>
      <xdr:rowOff>66675</xdr:rowOff>
    </xdr:from>
    <xdr:to>
      <xdr:col>1</xdr:col>
      <xdr:colOff>326981</xdr:colOff>
      <xdr:row>37</xdr:row>
      <xdr:rowOff>30128</xdr:rowOff>
    </xdr:to>
    <xdr:sp macro="" textlink="">
      <xdr:nvSpPr>
        <xdr:cNvPr id="32" name="Rectangle 31">
          <a:extLst>
            <a:ext uri="{FF2B5EF4-FFF2-40B4-BE49-F238E27FC236}">
              <a16:creationId xmlns:a16="http://schemas.microsoft.com/office/drawing/2014/main" id="{EAA9A8D7-990E-AA95-3AAC-B6529E6F0D26}"/>
            </a:ext>
          </a:extLst>
        </xdr:cNvPr>
        <xdr:cNvSpPr/>
      </xdr:nvSpPr>
      <xdr:spPr>
        <a:xfrm>
          <a:off x="282619" y="6781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-21.31dBm</a:t>
          </a:r>
        </a:p>
      </xdr:txBody>
    </xdr:sp>
    <xdr:clientData/>
  </xdr:twoCellAnchor>
  <xdr:twoCellAnchor>
    <xdr:from>
      <xdr:col>1</xdr:col>
      <xdr:colOff>326981</xdr:colOff>
      <xdr:row>35</xdr:row>
      <xdr:rowOff>66675</xdr:rowOff>
    </xdr:from>
    <xdr:to>
      <xdr:col>2</xdr:col>
      <xdr:colOff>114300</xdr:colOff>
      <xdr:row>35</xdr:row>
      <xdr:rowOff>66675</xdr:rowOff>
    </xdr:to>
    <xdr:cxnSp macro="">
      <xdr:nvCxnSpPr>
        <xdr:cNvPr id="33" name="Straight Arrow Connector 32">
          <a:extLst>
            <a:ext uri="{FF2B5EF4-FFF2-40B4-BE49-F238E27FC236}">
              <a16:creationId xmlns:a16="http://schemas.microsoft.com/office/drawing/2014/main" id="{F12F4A39-4492-7501-CF9B-A29945FE0E19}"/>
            </a:ext>
          </a:extLst>
        </xdr:cNvPr>
        <xdr:cNvCxnSpPr/>
      </xdr:nvCxnSpPr>
      <xdr:spPr>
        <a:xfrm>
          <a:off x="936581" y="6781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39</xdr:row>
      <xdr:rowOff>66675</xdr:rowOff>
    </xdr:from>
    <xdr:to>
      <xdr:col>2</xdr:col>
      <xdr:colOff>495300</xdr:colOff>
      <xdr:row>41</xdr:row>
      <xdr:rowOff>66675</xdr:rowOff>
    </xdr:to>
    <xdr:sp macro="" textlink="">
      <xdr:nvSpPr>
        <xdr:cNvPr id="34" name="sym_Splitter 1_13">
          <a:extLst>
            <a:ext uri="{FF2B5EF4-FFF2-40B4-BE49-F238E27FC236}">
              <a16:creationId xmlns:a16="http://schemas.microsoft.com/office/drawing/2014/main" id="{22F21FC6-C8C6-A130-5B07-2E813320B5C6}"/>
            </a:ext>
          </a:extLst>
        </xdr:cNvPr>
        <xdr:cNvSpPr/>
      </xdr:nvSpPr>
      <xdr:spPr>
        <a:xfrm>
          <a:off x="1333500" y="754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6</a:t>
          </a:r>
        </a:p>
      </xdr:txBody>
    </xdr:sp>
    <xdr:clientData/>
  </xdr:twoCellAnchor>
  <xdr:twoCellAnchor>
    <xdr:from>
      <xdr:col>2</xdr:col>
      <xdr:colOff>304800</xdr:colOff>
      <xdr:row>36</xdr:row>
      <xdr:rowOff>66675</xdr:rowOff>
    </xdr:from>
    <xdr:to>
      <xdr:col>2</xdr:col>
      <xdr:colOff>304800</xdr:colOff>
      <xdr:row>39</xdr:row>
      <xdr:rowOff>66675</xdr:rowOff>
    </xdr:to>
    <xdr:cxnSp macro="">
      <xdr:nvCxnSpPr>
        <xdr:cNvPr id="35" name="lin_Splitter 1_13">
          <a:extLst>
            <a:ext uri="{FF2B5EF4-FFF2-40B4-BE49-F238E27FC236}">
              <a16:creationId xmlns:a16="http://schemas.microsoft.com/office/drawing/2014/main" id="{EB37D8CB-7622-CF8C-1B14-A6D598CDBAD0}"/>
            </a:ext>
          </a:extLst>
        </xdr:cNvPr>
        <xdr:cNvCxnSpPr/>
      </xdr:nvCxnSpPr>
      <xdr:spPr>
        <a:xfrm>
          <a:off x="1524000" y="697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40</xdr:row>
      <xdr:rowOff>66675</xdr:rowOff>
    </xdr:from>
    <xdr:to>
      <xdr:col>1</xdr:col>
      <xdr:colOff>326981</xdr:colOff>
      <xdr:row>42</xdr:row>
      <xdr:rowOff>30128</xdr:rowOff>
    </xdr:to>
    <xdr:sp macro="" textlink="">
      <xdr:nvSpPr>
        <xdr:cNvPr id="38" name="Rectangle 37">
          <a:extLst>
            <a:ext uri="{FF2B5EF4-FFF2-40B4-BE49-F238E27FC236}">
              <a16:creationId xmlns:a16="http://schemas.microsoft.com/office/drawing/2014/main" id="{299CDBB1-319A-E8ED-71D9-A2F86876DDFA}"/>
            </a:ext>
          </a:extLst>
        </xdr:cNvPr>
        <xdr:cNvSpPr/>
      </xdr:nvSpPr>
      <xdr:spPr>
        <a:xfrm>
          <a:off x="282619" y="7734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-18.01dBm</a:t>
          </a:r>
        </a:p>
      </xdr:txBody>
    </xdr:sp>
    <xdr:clientData/>
  </xdr:twoCellAnchor>
  <xdr:twoCellAnchor>
    <xdr:from>
      <xdr:col>1</xdr:col>
      <xdr:colOff>326981</xdr:colOff>
      <xdr:row>40</xdr:row>
      <xdr:rowOff>66675</xdr:rowOff>
    </xdr:from>
    <xdr:to>
      <xdr:col>2</xdr:col>
      <xdr:colOff>114300</xdr:colOff>
      <xdr:row>40</xdr:row>
      <xdr:rowOff>66675</xdr:rowOff>
    </xdr:to>
    <xdr:cxnSp macro="">
      <xdr:nvCxnSpPr>
        <xdr:cNvPr id="39" name="Straight Arrow Connector 38">
          <a:extLst>
            <a:ext uri="{FF2B5EF4-FFF2-40B4-BE49-F238E27FC236}">
              <a16:creationId xmlns:a16="http://schemas.microsoft.com/office/drawing/2014/main" id="{CC507476-5C06-F356-57A6-0333F41ACA09}"/>
            </a:ext>
          </a:extLst>
        </xdr:cNvPr>
        <xdr:cNvCxnSpPr/>
      </xdr:nvCxnSpPr>
      <xdr:spPr>
        <a:xfrm>
          <a:off x="936581" y="7734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44</xdr:row>
      <xdr:rowOff>66675</xdr:rowOff>
    </xdr:from>
    <xdr:to>
      <xdr:col>2</xdr:col>
      <xdr:colOff>495300</xdr:colOff>
      <xdr:row>46</xdr:row>
      <xdr:rowOff>66675</xdr:rowOff>
    </xdr:to>
    <xdr:sp macro="" textlink="">
      <xdr:nvSpPr>
        <xdr:cNvPr id="40" name="sym_Splitter 1_14">
          <a:extLst>
            <a:ext uri="{FF2B5EF4-FFF2-40B4-BE49-F238E27FC236}">
              <a16:creationId xmlns:a16="http://schemas.microsoft.com/office/drawing/2014/main" id="{48774085-59DF-BFAE-707B-E94CB053B949}"/>
            </a:ext>
          </a:extLst>
        </xdr:cNvPr>
        <xdr:cNvSpPr/>
      </xdr:nvSpPr>
      <xdr:spPr>
        <a:xfrm>
          <a:off x="1333500" y="849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7</a:t>
          </a:r>
        </a:p>
      </xdr:txBody>
    </xdr:sp>
    <xdr:clientData/>
  </xdr:twoCellAnchor>
  <xdr:twoCellAnchor>
    <xdr:from>
      <xdr:col>2</xdr:col>
      <xdr:colOff>304800</xdr:colOff>
      <xdr:row>41</xdr:row>
      <xdr:rowOff>66675</xdr:rowOff>
    </xdr:from>
    <xdr:to>
      <xdr:col>2</xdr:col>
      <xdr:colOff>304800</xdr:colOff>
      <xdr:row>44</xdr:row>
      <xdr:rowOff>66675</xdr:rowOff>
    </xdr:to>
    <xdr:cxnSp macro="">
      <xdr:nvCxnSpPr>
        <xdr:cNvPr id="41" name="lin_Splitter 1_14">
          <a:extLst>
            <a:ext uri="{FF2B5EF4-FFF2-40B4-BE49-F238E27FC236}">
              <a16:creationId xmlns:a16="http://schemas.microsoft.com/office/drawing/2014/main" id="{85C0969D-CCEC-A930-75DC-75A8F34BE0C5}"/>
            </a:ext>
          </a:extLst>
        </xdr:cNvPr>
        <xdr:cNvCxnSpPr/>
      </xdr:nvCxnSpPr>
      <xdr:spPr>
        <a:xfrm>
          <a:off x="1524000" y="7924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45</xdr:row>
      <xdr:rowOff>66675</xdr:rowOff>
    </xdr:from>
    <xdr:to>
      <xdr:col>1</xdr:col>
      <xdr:colOff>326981</xdr:colOff>
      <xdr:row>47</xdr:row>
      <xdr:rowOff>30128</xdr:rowOff>
    </xdr:to>
    <xdr:sp macro="" textlink="">
      <xdr:nvSpPr>
        <xdr:cNvPr id="44" name="Rectangle 43">
          <a:extLst>
            <a:ext uri="{FF2B5EF4-FFF2-40B4-BE49-F238E27FC236}">
              <a16:creationId xmlns:a16="http://schemas.microsoft.com/office/drawing/2014/main" id="{2F5EC826-AB37-166B-A263-9BE2E0857E39}"/>
            </a:ext>
          </a:extLst>
        </xdr:cNvPr>
        <xdr:cNvSpPr/>
      </xdr:nvSpPr>
      <xdr:spPr>
        <a:xfrm>
          <a:off x="282619" y="8686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-18.11dBm</a:t>
          </a:r>
        </a:p>
      </xdr:txBody>
    </xdr:sp>
    <xdr:clientData/>
  </xdr:twoCellAnchor>
  <xdr:twoCellAnchor>
    <xdr:from>
      <xdr:col>1</xdr:col>
      <xdr:colOff>326981</xdr:colOff>
      <xdr:row>45</xdr:row>
      <xdr:rowOff>66675</xdr:rowOff>
    </xdr:from>
    <xdr:to>
      <xdr:col>2</xdr:col>
      <xdr:colOff>114300</xdr:colOff>
      <xdr:row>45</xdr:row>
      <xdr:rowOff>66675</xdr:rowOff>
    </xdr:to>
    <xdr:cxnSp macro="">
      <xdr:nvCxnSpPr>
        <xdr:cNvPr id="45" name="Straight Arrow Connector 44">
          <a:extLst>
            <a:ext uri="{FF2B5EF4-FFF2-40B4-BE49-F238E27FC236}">
              <a16:creationId xmlns:a16="http://schemas.microsoft.com/office/drawing/2014/main" id="{91C96F8A-457B-C7A6-218A-5F83816FBFDA}"/>
            </a:ext>
          </a:extLst>
        </xdr:cNvPr>
        <xdr:cNvCxnSpPr/>
      </xdr:nvCxnSpPr>
      <xdr:spPr>
        <a:xfrm>
          <a:off x="936581" y="8686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49</xdr:row>
      <xdr:rowOff>66675</xdr:rowOff>
    </xdr:from>
    <xdr:to>
      <xdr:col>2</xdr:col>
      <xdr:colOff>495300</xdr:colOff>
      <xdr:row>51</xdr:row>
      <xdr:rowOff>66675</xdr:rowOff>
    </xdr:to>
    <xdr:sp macro="" textlink="">
      <xdr:nvSpPr>
        <xdr:cNvPr id="46" name="sym_Splitter 1_15">
          <a:extLst>
            <a:ext uri="{FF2B5EF4-FFF2-40B4-BE49-F238E27FC236}">
              <a16:creationId xmlns:a16="http://schemas.microsoft.com/office/drawing/2014/main" id="{1EF95ADF-731B-6504-0588-2ECE2FD0F52F}"/>
            </a:ext>
          </a:extLst>
        </xdr:cNvPr>
        <xdr:cNvSpPr/>
      </xdr:nvSpPr>
      <xdr:spPr>
        <a:xfrm>
          <a:off x="1333500" y="944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8</a:t>
          </a:r>
        </a:p>
      </xdr:txBody>
    </xdr:sp>
    <xdr:clientData/>
  </xdr:twoCellAnchor>
  <xdr:twoCellAnchor>
    <xdr:from>
      <xdr:col>2</xdr:col>
      <xdr:colOff>304800</xdr:colOff>
      <xdr:row>46</xdr:row>
      <xdr:rowOff>66675</xdr:rowOff>
    </xdr:from>
    <xdr:to>
      <xdr:col>2</xdr:col>
      <xdr:colOff>304800</xdr:colOff>
      <xdr:row>49</xdr:row>
      <xdr:rowOff>66675</xdr:rowOff>
    </xdr:to>
    <xdr:cxnSp macro="">
      <xdr:nvCxnSpPr>
        <xdr:cNvPr id="47" name="lin_Splitter 1_15">
          <a:extLst>
            <a:ext uri="{FF2B5EF4-FFF2-40B4-BE49-F238E27FC236}">
              <a16:creationId xmlns:a16="http://schemas.microsoft.com/office/drawing/2014/main" id="{C01BB8AA-223A-9B38-105F-EA3599A13D88}"/>
            </a:ext>
          </a:extLst>
        </xdr:cNvPr>
        <xdr:cNvCxnSpPr/>
      </xdr:nvCxnSpPr>
      <xdr:spPr>
        <a:xfrm>
          <a:off x="1524000" y="887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50</xdr:row>
      <xdr:rowOff>66675</xdr:rowOff>
    </xdr:from>
    <xdr:to>
      <xdr:col>1</xdr:col>
      <xdr:colOff>326981</xdr:colOff>
      <xdr:row>52</xdr:row>
      <xdr:rowOff>30128</xdr:rowOff>
    </xdr:to>
    <xdr:sp macro="" textlink="">
      <xdr:nvSpPr>
        <xdr:cNvPr id="50" name="Rectangle 49">
          <a:extLst>
            <a:ext uri="{FF2B5EF4-FFF2-40B4-BE49-F238E27FC236}">
              <a16:creationId xmlns:a16="http://schemas.microsoft.com/office/drawing/2014/main" id="{F4DF372C-3D80-6498-BCB6-2993D501016B}"/>
            </a:ext>
          </a:extLst>
        </xdr:cNvPr>
        <xdr:cNvSpPr/>
      </xdr:nvSpPr>
      <xdr:spPr>
        <a:xfrm>
          <a:off x="282619" y="963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-18.22dBm</a:t>
          </a:r>
        </a:p>
      </xdr:txBody>
    </xdr:sp>
    <xdr:clientData/>
  </xdr:twoCellAnchor>
  <xdr:twoCellAnchor>
    <xdr:from>
      <xdr:col>1</xdr:col>
      <xdr:colOff>326981</xdr:colOff>
      <xdr:row>50</xdr:row>
      <xdr:rowOff>66675</xdr:rowOff>
    </xdr:from>
    <xdr:to>
      <xdr:col>2</xdr:col>
      <xdr:colOff>114300</xdr:colOff>
      <xdr:row>50</xdr:row>
      <xdr:rowOff>66675</xdr:rowOff>
    </xdr:to>
    <xdr:cxnSp macro="">
      <xdr:nvCxnSpPr>
        <xdr:cNvPr id="51" name="Straight Arrow Connector 50">
          <a:extLst>
            <a:ext uri="{FF2B5EF4-FFF2-40B4-BE49-F238E27FC236}">
              <a16:creationId xmlns:a16="http://schemas.microsoft.com/office/drawing/2014/main" id="{C77127B2-8F3D-1F0E-C43E-31B6BD9BD834}"/>
            </a:ext>
          </a:extLst>
        </xdr:cNvPr>
        <xdr:cNvCxnSpPr/>
      </xdr:nvCxnSpPr>
      <xdr:spPr>
        <a:xfrm>
          <a:off x="936581" y="9639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54</xdr:row>
      <xdr:rowOff>66675</xdr:rowOff>
    </xdr:from>
    <xdr:to>
      <xdr:col>2</xdr:col>
      <xdr:colOff>495300</xdr:colOff>
      <xdr:row>56</xdr:row>
      <xdr:rowOff>66675</xdr:rowOff>
    </xdr:to>
    <xdr:sp macro="" textlink="">
      <xdr:nvSpPr>
        <xdr:cNvPr id="52" name="sym_Splitter 1_16">
          <a:extLst>
            <a:ext uri="{FF2B5EF4-FFF2-40B4-BE49-F238E27FC236}">
              <a16:creationId xmlns:a16="http://schemas.microsoft.com/office/drawing/2014/main" id="{C03A35F6-206C-9EF0-05D2-059B7BB3C1AF}"/>
            </a:ext>
          </a:extLst>
        </xdr:cNvPr>
        <xdr:cNvSpPr/>
      </xdr:nvSpPr>
      <xdr:spPr>
        <a:xfrm>
          <a:off x="1333500" y="1040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9</a:t>
          </a:r>
        </a:p>
      </xdr:txBody>
    </xdr:sp>
    <xdr:clientData/>
  </xdr:twoCellAnchor>
  <xdr:twoCellAnchor>
    <xdr:from>
      <xdr:col>2</xdr:col>
      <xdr:colOff>304800</xdr:colOff>
      <xdr:row>51</xdr:row>
      <xdr:rowOff>66675</xdr:rowOff>
    </xdr:from>
    <xdr:to>
      <xdr:col>2</xdr:col>
      <xdr:colOff>304800</xdr:colOff>
      <xdr:row>54</xdr:row>
      <xdr:rowOff>66675</xdr:rowOff>
    </xdr:to>
    <xdr:cxnSp macro="">
      <xdr:nvCxnSpPr>
        <xdr:cNvPr id="53" name="lin_Splitter 1_16">
          <a:extLst>
            <a:ext uri="{FF2B5EF4-FFF2-40B4-BE49-F238E27FC236}">
              <a16:creationId xmlns:a16="http://schemas.microsoft.com/office/drawing/2014/main" id="{ADD062B7-B3D5-9471-5CA7-0336AA55EFBF}"/>
            </a:ext>
          </a:extLst>
        </xdr:cNvPr>
        <xdr:cNvCxnSpPr/>
      </xdr:nvCxnSpPr>
      <xdr:spPr>
        <a:xfrm>
          <a:off x="1524000" y="9829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55</xdr:row>
      <xdr:rowOff>66675</xdr:rowOff>
    </xdr:from>
    <xdr:to>
      <xdr:col>1</xdr:col>
      <xdr:colOff>326981</xdr:colOff>
      <xdr:row>57</xdr:row>
      <xdr:rowOff>30128</xdr:rowOff>
    </xdr:to>
    <xdr:sp macro="" textlink="">
      <xdr:nvSpPr>
        <xdr:cNvPr id="56" name="Rectangle 55">
          <a:extLst>
            <a:ext uri="{FF2B5EF4-FFF2-40B4-BE49-F238E27FC236}">
              <a16:creationId xmlns:a16="http://schemas.microsoft.com/office/drawing/2014/main" id="{F48F47F8-5F94-5F4F-098E-49688A8DC26F}"/>
            </a:ext>
          </a:extLst>
        </xdr:cNvPr>
        <xdr:cNvSpPr/>
      </xdr:nvSpPr>
      <xdr:spPr>
        <a:xfrm>
          <a:off x="282619" y="10591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-18.34dBm</a:t>
          </a:r>
        </a:p>
      </xdr:txBody>
    </xdr:sp>
    <xdr:clientData/>
  </xdr:twoCellAnchor>
  <xdr:twoCellAnchor>
    <xdr:from>
      <xdr:col>1</xdr:col>
      <xdr:colOff>326981</xdr:colOff>
      <xdr:row>55</xdr:row>
      <xdr:rowOff>66675</xdr:rowOff>
    </xdr:from>
    <xdr:to>
      <xdr:col>2</xdr:col>
      <xdr:colOff>114300</xdr:colOff>
      <xdr:row>55</xdr:row>
      <xdr:rowOff>66675</xdr:rowOff>
    </xdr:to>
    <xdr:cxnSp macro="">
      <xdr:nvCxnSpPr>
        <xdr:cNvPr id="57" name="Straight Arrow Connector 56">
          <a:extLst>
            <a:ext uri="{FF2B5EF4-FFF2-40B4-BE49-F238E27FC236}">
              <a16:creationId xmlns:a16="http://schemas.microsoft.com/office/drawing/2014/main" id="{4604E1D7-38B4-ABE3-4325-BD0206D9483C}"/>
            </a:ext>
          </a:extLst>
        </xdr:cNvPr>
        <xdr:cNvCxnSpPr/>
      </xdr:nvCxnSpPr>
      <xdr:spPr>
        <a:xfrm>
          <a:off x="936581" y="10591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59</xdr:row>
      <xdr:rowOff>66675</xdr:rowOff>
    </xdr:from>
    <xdr:to>
      <xdr:col>2</xdr:col>
      <xdr:colOff>495300</xdr:colOff>
      <xdr:row>61</xdr:row>
      <xdr:rowOff>66675</xdr:rowOff>
    </xdr:to>
    <xdr:sp macro="" textlink="">
      <xdr:nvSpPr>
        <xdr:cNvPr id="58" name="sym_Splitter 1_17">
          <a:extLst>
            <a:ext uri="{FF2B5EF4-FFF2-40B4-BE49-F238E27FC236}">
              <a16:creationId xmlns:a16="http://schemas.microsoft.com/office/drawing/2014/main" id="{92472794-ED9F-CB83-2563-A03DDF637EE6}"/>
            </a:ext>
          </a:extLst>
        </xdr:cNvPr>
        <xdr:cNvSpPr/>
      </xdr:nvSpPr>
      <xdr:spPr>
        <a:xfrm>
          <a:off x="1333500" y="1135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10</a:t>
          </a:r>
        </a:p>
      </xdr:txBody>
    </xdr:sp>
    <xdr:clientData/>
  </xdr:twoCellAnchor>
  <xdr:twoCellAnchor>
    <xdr:from>
      <xdr:col>2</xdr:col>
      <xdr:colOff>304800</xdr:colOff>
      <xdr:row>56</xdr:row>
      <xdr:rowOff>66675</xdr:rowOff>
    </xdr:from>
    <xdr:to>
      <xdr:col>2</xdr:col>
      <xdr:colOff>304800</xdr:colOff>
      <xdr:row>59</xdr:row>
      <xdr:rowOff>66675</xdr:rowOff>
    </xdr:to>
    <xdr:cxnSp macro="">
      <xdr:nvCxnSpPr>
        <xdr:cNvPr id="59" name="lin_Splitter 1_17">
          <a:extLst>
            <a:ext uri="{FF2B5EF4-FFF2-40B4-BE49-F238E27FC236}">
              <a16:creationId xmlns:a16="http://schemas.microsoft.com/office/drawing/2014/main" id="{982C98A7-CD72-29BA-01FA-27169F79741E}"/>
            </a:ext>
          </a:extLst>
        </xdr:cNvPr>
        <xdr:cNvCxnSpPr/>
      </xdr:nvCxnSpPr>
      <xdr:spPr>
        <a:xfrm>
          <a:off x="1524000" y="1078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60</xdr:row>
      <xdr:rowOff>66675</xdr:rowOff>
    </xdr:from>
    <xdr:to>
      <xdr:col>1</xdr:col>
      <xdr:colOff>326981</xdr:colOff>
      <xdr:row>62</xdr:row>
      <xdr:rowOff>30128</xdr:rowOff>
    </xdr:to>
    <xdr:sp macro="" textlink="">
      <xdr:nvSpPr>
        <xdr:cNvPr id="62" name="Rectangle 61">
          <a:extLst>
            <a:ext uri="{FF2B5EF4-FFF2-40B4-BE49-F238E27FC236}">
              <a16:creationId xmlns:a16="http://schemas.microsoft.com/office/drawing/2014/main" id="{3B24EDD4-E2E0-AEE7-B4AB-6D46723A0621}"/>
            </a:ext>
          </a:extLst>
        </xdr:cNvPr>
        <xdr:cNvSpPr/>
      </xdr:nvSpPr>
      <xdr:spPr>
        <a:xfrm>
          <a:off x="282619" y="11544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-21.82dBm</a:t>
          </a:r>
        </a:p>
      </xdr:txBody>
    </xdr:sp>
    <xdr:clientData/>
  </xdr:twoCellAnchor>
  <xdr:twoCellAnchor>
    <xdr:from>
      <xdr:col>1</xdr:col>
      <xdr:colOff>326981</xdr:colOff>
      <xdr:row>60</xdr:row>
      <xdr:rowOff>66675</xdr:rowOff>
    </xdr:from>
    <xdr:to>
      <xdr:col>2</xdr:col>
      <xdr:colOff>114300</xdr:colOff>
      <xdr:row>60</xdr:row>
      <xdr:rowOff>66675</xdr:rowOff>
    </xdr:to>
    <xdr:cxnSp macro="">
      <xdr:nvCxnSpPr>
        <xdr:cNvPr id="63" name="Straight Arrow Connector 62">
          <a:extLst>
            <a:ext uri="{FF2B5EF4-FFF2-40B4-BE49-F238E27FC236}">
              <a16:creationId xmlns:a16="http://schemas.microsoft.com/office/drawing/2014/main" id="{0F6A683C-615A-8D34-61FF-110286430639}"/>
            </a:ext>
          </a:extLst>
        </xdr:cNvPr>
        <xdr:cNvCxnSpPr/>
      </xdr:nvCxnSpPr>
      <xdr:spPr>
        <a:xfrm>
          <a:off x="936581" y="11544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64</xdr:row>
      <xdr:rowOff>66675</xdr:rowOff>
    </xdr:from>
    <xdr:to>
      <xdr:col>2</xdr:col>
      <xdr:colOff>495300</xdr:colOff>
      <xdr:row>66</xdr:row>
      <xdr:rowOff>66675</xdr:rowOff>
    </xdr:to>
    <xdr:sp macro="" textlink="">
      <xdr:nvSpPr>
        <xdr:cNvPr id="64" name="sym_Splitter 1_18">
          <a:extLst>
            <a:ext uri="{FF2B5EF4-FFF2-40B4-BE49-F238E27FC236}">
              <a16:creationId xmlns:a16="http://schemas.microsoft.com/office/drawing/2014/main" id="{143FC303-D1E0-EEA2-9AEC-158C7BD40CA7}"/>
            </a:ext>
          </a:extLst>
        </xdr:cNvPr>
        <xdr:cNvSpPr/>
      </xdr:nvSpPr>
      <xdr:spPr>
        <a:xfrm>
          <a:off x="1333500" y="1230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11</a:t>
          </a:r>
        </a:p>
      </xdr:txBody>
    </xdr:sp>
    <xdr:clientData/>
  </xdr:twoCellAnchor>
  <xdr:twoCellAnchor>
    <xdr:from>
      <xdr:col>2</xdr:col>
      <xdr:colOff>304800</xdr:colOff>
      <xdr:row>61</xdr:row>
      <xdr:rowOff>66675</xdr:rowOff>
    </xdr:from>
    <xdr:to>
      <xdr:col>2</xdr:col>
      <xdr:colOff>304800</xdr:colOff>
      <xdr:row>64</xdr:row>
      <xdr:rowOff>66675</xdr:rowOff>
    </xdr:to>
    <xdr:cxnSp macro="">
      <xdr:nvCxnSpPr>
        <xdr:cNvPr id="65" name="lin_Splitter 1_18">
          <a:extLst>
            <a:ext uri="{FF2B5EF4-FFF2-40B4-BE49-F238E27FC236}">
              <a16:creationId xmlns:a16="http://schemas.microsoft.com/office/drawing/2014/main" id="{EA48343D-94FE-4568-168B-75BE2DFED4F8}"/>
            </a:ext>
          </a:extLst>
        </xdr:cNvPr>
        <xdr:cNvCxnSpPr/>
      </xdr:nvCxnSpPr>
      <xdr:spPr>
        <a:xfrm>
          <a:off x="1524000" y="11734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65</xdr:row>
      <xdr:rowOff>66675</xdr:rowOff>
    </xdr:from>
    <xdr:to>
      <xdr:col>1</xdr:col>
      <xdr:colOff>326981</xdr:colOff>
      <xdr:row>67</xdr:row>
      <xdr:rowOff>30128</xdr:rowOff>
    </xdr:to>
    <xdr:sp macro="" textlink="">
      <xdr:nvSpPr>
        <xdr:cNvPr id="68" name="Rectangle 67">
          <a:extLst>
            <a:ext uri="{FF2B5EF4-FFF2-40B4-BE49-F238E27FC236}">
              <a16:creationId xmlns:a16="http://schemas.microsoft.com/office/drawing/2014/main" id="{082F123C-5D37-589E-A8DB-EB9B8D6E1058}"/>
            </a:ext>
          </a:extLst>
        </xdr:cNvPr>
        <xdr:cNvSpPr/>
      </xdr:nvSpPr>
      <xdr:spPr>
        <a:xfrm>
          <a:off x="282619" y="12496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-21.93dBm</a:t>
          </a:r>
        </a:p>
      </xdr:txBody>
    </xdr:sp>
    <xdr:clientData/>
  </xdr:twoCellAnchor>
  <xdr:twoCellAnchor>
    <xdr:from>
      <xdr:col>1</xdr:col>
      <xdr:colOff>326981</xdr:colOff>
      <xdr:row>65</xdr:row>
      <xdr:rowOff>66675</xdr:rowOff>
    </xdr:from>
    <xdr:to>
      <xdr:col>2</xdr:col>
      <xdr:colOff>114300</xdr:colOff>
      <xdr:row>65</xdr:row>
      <xdr:rowOff>66675</xdr:rowOff>
    </xdr:to>
    <xdr:cxnSp macro="">
      <xdr:nvCxnSpPr>
        <xdr:cNvPr id="69" name="Straight Arrow Connector 68">
          <a:extLst>
            <a:ext uri="{FF2B5EF4-FFF2-40B4-BE49-F238E27FC236}">
              <a16:creationId xmlns:a16="http://schemas.microsoft.com/office/drawing/2014/main" id="{DFE6FE48-6DC8-2B41-91A4-69FBF81E1875}"/>
            </a:ext>
          </a:extLst>
        </xdr:cNvPr>
        <xdr:cNvCxnSpPr/>
      </xdr:nvCxnSpPr>
      <xdr:spPr>
        <a:xfrm>
          <a:off x="936581" y="12496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69</xdr:row>
      <xdr:rowOff>66675</xdr:rowOff>
    </xdr:from>
    <xdr:to>
      <xdr:col>2</xdr:col>
      <xdr:colOff>495300</xdr:colOff>
      <xdr:row>71</xdr:row>
      <xdr:rowOff>66675</xdr:rowOff>
    </xdr:to>
    <xdr:sp macro="" textlink="">
      <xdr:nvSpPr>
        <xdr:cNvPr id="70" name="sym_Splitter 1_19">
          <a:extLst>
            <a:ext uri="{FF2B5EF4-FFF2-40B4-BE49-F238E27FC236}">
              <a16:creationId xmlns:a16="http://schemas.microsoft.com/office/drawing/2014/main" id="{D67F23EA-93B6-26BB-F101-A338FCE73D2B}"/>
            </a:ext>
          </a:extLst>
        </xdr:cNvPr>
        <xdr:cNvSpPr/>
      </xdr:nvSpPr>
      <xdr:spPr>
        <a:xfrm>
          <a:off x="1333500" y="1325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12</a:t>
          </a:r>
        </a:p>
      </xdr:txBody>
    </xdr:sp>
    <xdr:clientData/>
  </xdr:twoCellAnchor>
  <xdr:twoCellAnchor>
    <xdr:from>
      <xdr:col>2</xdr:col>
      <xdr:colOff>304800</xdr:colOff>
      <xdr:row>66</xdr:row>
      <xdr:rowOff>66675</xdr:rowOff>
    </xdr:from>
    <xdr:to>
      <xdr:col>2</xdr:col>
      <xdr:colOff>304800</xdr:colOff>
      <xdr:row>69</xdr:row>
      <xdr:rowOff>66675</xdr:rowOff>
    </xdr:to>
    <xdr:cxnSp macro="">
      <xdr:nvCxnSpPr>
        <xdr:cNvPr id="71" name="lin_Splitter 1_19">
          <a:extLst>
            <a:ext uri="{FF2B5EF4-FFF2-40B4-BE49-F238E27FC236}">
              <a16:creationId xmlns:a16="http://schemas.microsoft.com/office/drawing/2014/main" id="{D030541F-317E-2B18-BD89-534F93BDA704}"/>
            </a:ext>
          </a:extLst>
        </xdr:cNvPr>
        <xdr:cNvCxnSpPr/>
      </xdr:nvCxnSpPr>
      <xdr:spPr>
        <a:xfrm>
          <a:off x="1524000" y="1268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70</xdr:row>
      <xdr:rowOff>66675</xdr:rowOff>
    </xdr:from>
    <xdr:to>
      <xdr:col>1</xdr:col>
      <xdr:colOff>326981</xdr:colOff>
      <xdr:row>72</xdr:row>
      <xdr:rowOff>30128</xdr:rowOff>
    </xdr:to>
    <xdr:sp macro="" textlink="">
      <xdr:nvSpPr>
        <xdr:cNvPr id="74" name="Rectangle 73">
          <a:extLst>
            <a:ext uri="{FF2B5EF4-FFF2-40B4-BE49-F238E27FC236}">
              <a16:creationId xmlns:a16="http://schemas.microsoft.com/office/drawing/2014/main" id="{53EE1DB9-1731-3B6C-46A7-CC54ECC9E9D6}"/>
            </a:ext>
          </a:extLst>
        </xdr:cNvPr>
        <xdr:cNvSpPr/>
      </xdr:nvSpPr>
      <xdr:spPr>
        <a:xfrm>
          <a:off x="282619" y="1344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-18.62dBm</a:t>
          </a:r>
        </a:p>
      </xdr:txBody>
    </xdr:sp>
    <xdr:clientData/>
  </xdr:twoCellAnchor>
  <xdr:twoCellAnchor>
    <xdr:from>
      <xdr:col>1</xdr:col>
      <xdr:colOff>326981</xdr:colOff>
      <xdr:row>70</xdr:row>
      <xdr:rowOff>66675</xdr:rowOff>
    </xdr:from>
    <xdr:to>
      <xdr:col>2</xdr:col>
      <xdr:colOff>114300</xdr:colOff>
      <xdr:row>70</xdr:row>
      <xdr:rowOff>66675</xdr:rowOff>
    </xdr:to>
    <xdr:cxnSp macro="">
      <xdr:nvCxnSpPr>
        <xdr:cNvPr id="75" name="Straight Arrow Connector 74">
          <a:extLst>
            <a:ext uri="{FF2B5EF4-FFF2-40B4-BE49-F238E27FC236}">
              <a16:creationId xmlns:a16="http://schemas.microsoft.com/office/drawing/2014/main" id="{036173BF-1137-FA4B-9A1B-E89157C33815}"/>
            </a:ext>
          </a:extLst>
        </xdr:cNvPr>
        <xdr:cNvCxnSpPr/>
      </xdr:nvCxnSpPr>
      <xdr:spPr>
        <a:xfrm>
          <a:off x="936581" y="13449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74</xdr:row>
      <xdr:rowOff>66675</xdr:rowOff>
    </xdr:from>
    <xdr:to>
      <xdr:col>2</xdr:col>
      <xdr:colOff>495300</xdr:colOff>
      <xdr:row>76</xdr:row>
      <xdr:rowOff>66675</xdr:rowOff>
    </xdr:to>
    <xdr:sp macro="" textlink="">
      <xdr:nvSpPr>
        <xdr:cNvPr id="76" name="sym_Splitter 1_20">
          <a:extLst>
            <a:ext uri="{FF2B5EF4-FFF2-40B4-BE49-F238E27FC236}">
              <a16:creationId xmlns:a16="http://schemas.microsoft.com/office/drawing/2014/main" id="{3EB2D1C1-DBDC-7D6F-0B25-E47FF5B6CA53}"/>
            </a:ext>
          </a:extLst>
        </xdr:cNvPr>
        <xdr:cNvSpPr/>
      </xdr:nvSpPr>
      <xdr:spPr>
        <a:xfrm>
          <a:off x="1333500" y="1421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13</a:t>
          </a:r>
        </a:p>
      </xdr:txBody>
    </xdr:sp>
    <xdr:clientData/>
  </xdr:twoCellAnchor>
  <xdr:twoCellAnchor>
    <xdr:from>
      <xdr:col>2</xdr:col>
      <xdr:colOff>304800</xdr:colOff>
      <xdr:row>71</xdr:row>
      <xdr:rowOff>66675</xdr:rowOff>
    </xdr:from>
    <xdr:to>
      <xdr:col>2</xdr:col>
      <xdr:colOff>304800</xdr:colOff>
      <xdr:row>74</xdr:row>
      <xdr:rowOff>66675</xdr:rowOff>
    </xdr:to>
    <xdr:cxnSp macro="">
      <xdr:nvCxnSpPr>
        <xdr:cNvPr id="77" name="lin_Splitter 1_20">
          <a:extLst>
            <a:ext uri="{FF2B5EF4-FFF2-40B4-BE49-F238E27FC236}">
              <a16:creationId xmlns:a16="http://schemas.microsoft.com/office/drawing/2014/main" id="{C4093212-2D73-AF1A-475C-EB9B8E4C02FC}"/>
            </a:ext>
          </a:extLst>
        </xdr:cNvPr>
        <xdr:cNvCxnSpPr/>
      </xdr:nvCxnSpPr>
      <xdr:spPr>
        <a:xfrm>
          <a:off x="1524000" y="13639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75</xdr:row>
      <xdr:rowOff>66675</xdr:rowOff>
    </xdr:from>
    <xdr:to>
      <xdr:col>1</xdr:col>
      <xdr:colOff>326981</xdr:colOff>
      <xdr:row>77</xdr:row>
      <xdr:rowOff>30128</xdr:rowOff>
    </xdr:to>
    <xdr:sp macro="" textlink="">
      <xdr:nvSpPr>
        <xdr:cNvPr id="80" name="Rectangle 79">
          <a:extLst>
            <a:ext uri="{FF2B5EF4-FFF2-40B4-BE49-F238E27FC236}">
              <a16:creationId xmlns:a16="http://schemas.microsoft.com/office/drawing/2014/main" id="{8123A8D4-6DF7-9BFC-9892-2A352F6347C3}"/>
            </a:ext>
          </a:extLst>
        </xdr:cNvPr>
        <xdr:cNvSpPr/>
      </xdr:nvSpPr>
      <xdr:spPr>
        <a:xfrm>
          <a:off x="282619" y="14401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-22.11dBm</a:t>
          </a:r>
        </a:p>
      </xdr:txBody>
    </xdr:sp>
    <xdr:clientData/>
  </xdr:twoCellAnchor>
  <xdr:twoCellAnchor>
    <xdr:from>
      <xdr:col>1</xdr:col>
      <xdr:colOff>326981</xdr:colOff>
      <xdr:row>75</xdr:row>
      <xdr:rowOff>66675</xdr:rowOff>
    </xdr:from>
    <xdr:to>
      <xdr:col>2</xdr:col>
      <xdr:colOff>114300</xdr:colOff>
      <xdr:row>75</xdr:row>
      <xdr:rowOff>66675</xdr:rowOff>
    </xdr:to>
    <xdr:cxnSp macro="">
      <xdr:nvCxnSpPr>
        <xdr:cNvPr id="81" name="Straight Arrow Connector 80">
          <a:extLst>
            <a:ext uri="{FF2B5EF4-FFF2-40B4-BE49-F238E27FC236}">
              <a16:creationId xmlns:a16="http://schemas.microsoft.com/office/drawing/2014/main" id="{C6918DF4-8118-8365-5BC6-1B8DE86D2072}"/>
            </a:ext>
          </a:extLst>
        </xdr:cNvPr>
        <xdr:cNvCxnSpPr/>
      </xdr:nvCxnSpPr>
      <xdr:spPr>
        <a:xfrm>
          <a:off x="936581" y="14401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79</xdr:row>
      <xdr:rowOff>66675</xdr:rowOff>
    </xdr:from>
    <xdr:to>
      <xdr:col>2</xdr:col>
      <xdr:colOff>495300</xdr:colOff>
      <xdr:row>81</xdr:row>
      <xdr:rowOff>66675</xdr:rowOff>
    </xdr:to>
    <xdr:sp macro="" textlink="">
      <xdr:nvSpPr>
        <xdr:cNvPr id="82" name="sym_Splitter 1_21">
          <a:extLst>
            <a:ext uri="{FF2B5EF4-FFF2-40B4-BE49-F238E27FC236}">
              <a16:creationId xmlns:a16="http://schemas.microsoft.com/office/drawing/2014/main" id="{6D08ED4B-F62A-E572-A149-C8FC3C77B39A}"/>
            </a:ext>
          </a:extLst>
        </xdr:cNvPr>
        <xdr:cNvSpPr/>
      </xdr:nvSpPr>
      <xdr:spPr>
        <a:xfrm>
          <a:off x="1333500" y="1516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14</a:t>
          </a:r>
        </a:p>
      </xdr:txBody>
    </xdr:sp>
    <xdr:clientData/>
  </xdr:twoCellAnchor>
  <xdr:twoCellAnchor>
    <xdr:from>
      <xdr:col>2</xdr:col>
      <xdr:colOff>304800</xdr:colOff>
      <xdr:row>76</xdr:row>
      <xdr:rowOff>66675</xdr:rowOff>
    </xdr:from>
    <xdr:to>
      <xdr:col>2</xdr:col>
      <xdr:colOff>304800</xdr:colOff>
      <xdr:row>79</xdr:row>
      <xdr:rowOff>66675</xdr:rowOff>
    </xdr:to>
    <xdr:cxnSp macro="">
      <xdr:nvCxnSpPr>
        <xdr:cNvPr id="83" name="lin_Splitter 1_21">
          <a:extLst>
            <a:ext uri="{FF2B5EF4-FFF2-40B4-BE49-F238E27FC236}">
              <a16:creationId xmlns:a16="http://schemas.microsoft.com/office/drawing/2014/main" id="{1B894335-4210-8D58-02B7-3998CCCBF174}"/>
            </a:ext>
          </a:extLst>
        </xdr:cNvPr>
        <xdr:cNvCxnSpPr/>
      </xdr:nvCxnSpPr>
      <xdr:spPr>
        <a:xfrm>
          <a:off x="1524000" y="1459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80</xdr:row>
      <xdr:rowOff>66675</xdr:rowOff>
    </xdr:from>
    <xdr:to>
      <xdr:col>1</xdr:col>
      <xdr:colOff>326981</xdr:colOff>
      <xdr:row>82</xdr:row>
      <xdr:rowOff>30128</xdr:rowOff>
    </xdr:to>
    <xdr:sp macro="" textlink="">
      <xdr:nvSpPr>
        <xdr:cNvPr id="86" name="Rectangle 85">
          <a:extLst>
            <a:ext uri="{FF2B5EF4-FFF2-40B4-BE49-F238E27FC236}">
              <a16:creationId xmlns:a16="http://schemas.microsoft.com/office/drawing/2014/main" id="{BA0D9EF8-9656-4FEB-6EAB-DC81B3ABC5C4}"/>
            </a:ext>
          </a:extLst>
        </xdr:cNvPr>
        <xdr:cNvSpPr/>
      </xdr:nvSpPr>
      <xdr:spPr>
        <a:xfrm>
          <a:off x="282619" y="15354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-18.81dBm</a:t>
          </a:r>
        </a:p>
      </xdr:txBody>
    </xdr:sp>
    <xdr:clientData/>
  </xdr:twoCellAnchor>
  <xdr:twoCellAnchor>
    <xdr:from>
      <xdr:col>1</xdr:col>
      <xdr:colOff>326981</xdr:colOff>
      <xdr:row>80</xdr:row>
      <xdr:rowOff>66675</xdr:rowOff>
    </xdr:from>
    <xdr:to>
      <xdr:col>2</xdr:col>
      <xdr:colOff>114300</xdr:colOff>
      <xdr:row>80</xdr:row>
      <xdr:rowOff>66675</xdr:rowOff>
    </xdr:to>
    <xdr:cxnSp macro="">
      <xdr:nvCxnSpPr>
        <xdr:cNvPr id="87" name="Straight Arrow Connector 86">
          <a:extLst>
            <a:ext uri="{FF2B5EF4-FFF2-40B4-BE49-F238E27FC236}">
              <a16:creationId xmlns:a16="http://schemas.microsoft.com/office/drawing/2014/main" id="{EC032D12-A23F-835D-0485-94BAD6945433}"/>
            </a:ext>
          </a:extLst>
        </xdr:cNvPr>
        <xdr:cNvCxnSpPr/>
      </xdr:nvCxnSpPr>
      <xdr:spPr>
        <a:xfrm>
          <a:off x="936581" y="15354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84</xdr:row>
      <xdr:rowOff>66675</xdr:rowOff>
    </xdr:from>
    <xdr:to>
      <xdr:col>2</xdr:col>
      <xdr:colOff>495300</xdr:colOff>
      <xdr:row>86</xdr:row>
      <xdr:rowOff>66675</xdr:rowOff>
    </xdr:to>
    <xdr:sp macro="" textlink="">
      <xdr:nvSpPr>
        <xdr:cNvPr id="88" name="sym_Splitter 1_22">
          <a:extLst>
            <a:ext uri="{FF2B5EF4-FFF2-40B4-BE49-F238E27FC236}">
              <a16:creationId xmlns:a16="http://schemas.microsoft.com/office/drawing/2014/main" id="{5B05C1BA-1F30-DDE8-15FF-48793DFB07E9}"/>
            </a:ext>
          </a:extLst>
        </xdr:cNvPr>
        <xdr:cNvSpPr/>
      </xdr:nvSpPr>
      <xdr:spPr>
        <a:xfrm>
          <a:off x="1333500" y="1611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15</a:t>
          </a:r>
        </a:p>
      </xdr:txBody>
    </xdr:sp>
    <xdr:clientData/>
  </xdr:twoCellAnchor>
  <xdr:twoCellAnchor>
    <xdr:from>
      <xdr:col>2</xdr:col>
      <xdr:colOff>304800</xdr:colOff>
      <xdr:row>81</xdr:row>
      <xdr:rowOff>66675</xdr:rowOff>
    </xdr:from>
    <xdr:to>
      <xdr:col>2</xdr:col>
      <xdr:colOff>304800</xdr:colOff>
      <xdr:row>84</xdr:row>
      <xdr:rowOff>66675</xdr:rowOff>
    </xdr:to>
    <xdr:cxnSp macro="">
      <xdr:nvCxnSpPr>
        <xdr:cNvPr id="89" name="lin_Splitter 1_22">
          <a:extLst>
            <a:ext uri="{FF2B5EF4-FFF2-40B4-BE49-F238E27FC236}">
              <a16:creationId xmlns:a16="http://schemas.microsoft.com/office/drawing/2014/main" id="{5D2E62B9-B4BA-5854-1BB0-652D52B25B4C}"/>
            </a:ext>
          </a:extLst>
        </xdr:cNvPr>
        <xdr:cNvCxnSpPr/>
      </xdr:nvCxnSpPr>
      <xdr:spPr>
        <a:xfrm>
          <a:off x="1524000" y="15544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89</xdr:row>
      <xdr:rowOff>66675</xdr:rowOff>
    </xdr:from>
    <xdr:to>
      <xdr:col>2</xdr:col>
      <xdr:colOff>495300</xdr:colOff>
      <xdr:row>91</xdr:row>
      <xdr:rowOff>66675</xdr:rowOff>
    </xdr:to>
    <xdr:sp macro="" textlink="">
      <xdr:nvSpPr>
        <xdr:cNvPr id="92" name="sym_Splitter 1_23">
          <a:extLst>
            <a:ext uri="{FF2B5EF4-FFF2-40B4-BE49-F238E27FC236}">
              <a16:creationId xmlns:a16="http://schemas.microsoft.com/office/drawing/2014/main" id="{214F6551-BED4-430D-5C1A-3F5ECB59A382}"/>
            </a:ext>
          </a:extLst>
        </xdr:cNvPr>
        <xdr:cNvSpPr/>
      </xdr:nvSpPr>
      <xdr:spPr>
        <a:xfrm>
          <a:off x="1333500" y="1706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16</a:t>
          </a:r>
        </a:p>
      </xdr:txBody>
    </xdr:sp>
    <xdr:clientData/>
  </xdr:twoCellAnchor>
  <xdr:twoCellAnchor>
    <xdr:from>
      <xdr:col>2</xdr:col>
      <xdr:colOff>304800</xdr:colOff>
      <xdr:row>86</xdr:row>
      <xdr:rowOff>66675</xdr:rowOff>
    </xdr:from>
    <xdr:to>
      <xdr:col>2</xdr:col>
      <xdr:colOff>304800</xdr:colOff>
      <xdr:row>89</xdr:row>
      <xdr:rowOff>66675</xdr:rowOff>
    </xdr:to>
    <xdr:cxnSp macro="">
      <xdr:nvCxnSpPr>
        <xdr:cNvPr id="93" name="lin_Splitter 1_23">
          <a:extLst>
            <a:ext uri="{FF2B5EF4-FFF2-40B4-BE49-F238E27FC236}">
              <a16:creationId xmlns:a16="http://schemas.microsoft.com/office/drawing/2014/main" id="{32B3E4CB-9C2F-F2E0-F3F1-76942F9AB3DD}"/>
            </a:ext>
          </a:extLst>
        </xdr:cNvPr>
        <xdr:cNvCxnSpPr/>
      </xdr:nvCxnSpPr>
      <xdr:spPr>
        <a:xfrm>
          <a:off x="1524000" y="1649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90</xdr:row>
      <xdr:rowOff>66675</xdr:rowOff>
    </xdr:from>
    <xdr:to>
      <xdr:col>1</xdr:col>
      <xdr:colOff>326981</xdr:colOff>
      <xdr:row>92</xdr:row>
      <xdr:rowOff>30128</xdr:rowOff>
    </xdr:to>
    <xdr:sp macro="" textlink="">
      <xdr:nvSpPr>
        <xdr:cNvPr id="96" name="Rectangle 95">
          <a:extLst>
            <a:ext uri="{FF2B5EF4-FFF2-40B4-BE49-F238E27FC236}">
              <a16:creationId xmlns:a16="http://schemas.microsoft.com/office/drawing/2014/main" id="{E5A28DB2-3177-E650-464B-67ACF62E0731}"/>
            </a:ext>
          </a:extLst>
        </xdr:cNvPr>
        <xdr:cNvSpPr/>
      </xdr:nvSpPr>
      <xdr:spPr>
        <a:xfrm>
          <a:off x="282619" y="1725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-19.01dBm</a:t>
          </a:r>
        </a:p>
      </xdr:txBody>
    </xdr:sp>
    <xdr:clientData/>
  </xdr:twoCellAnchor>
  <xdr:twoCellAnchor>
    <xdr:from>
      <xdr:col>1</xdr:col>
      <xdr:colOff>326981</xdr:colOff>
      <xdr:row>90</xdr:row>
      <xdr:rowOff>66675</xdr:rowOff>
    </xdr:from>
    <xdr:to>
      <xdr:col>2</xdr:col>
      <xdr:colOff>114300</xdr:colOff>
      <xdr:row>90</xdr:row>
      <xdr:rowOff>66675</xdr:rowOff>
    </xdr:to>
    <xdr:cxnSp macro="">
      <xdr:nvCxnSpPr>
        <xdr:cNvPr id="97" name="Straight Arrow Connector 96">
          <a:extLst>
            <a:ext uri="{FF2B5EF4-FFF2-40B4-BE49-F238E27FC236}">
              <a16:creationId xmlns:a16="http://schemas.microsoft.com/office/drawing/2014/main" id="{09741683-FBBE-4A50-4536-52F2ECDE825A}"/>
            </a:ext>
          </a:extLst>
        </xdr:cNvPr>
        <xdr:cNvCxnSpPr/>
      </xdr:nvCxnSpPr>
      <xdr:spPr>
        <a:xfrm>
          <a:off x="936581" y="17259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94</xdr:row>
      <xdr:rowOff>66675</xdr:rowOff>
    </xdr:from>
    <xdr:to>
      <xdr:col>2</xdr:col>
      <xdr:colOff>495300</xdr:colOff>
      <xdr:row>96</xdr:row>
      <xdr:rowOff>66675</xdr:rowOff>
    </xdr:to>
    <xdr:sp macro="" textlink="">
      <xdr:nvSpPr>
        <xdr:cNvPr id="98" name="sym_Splitter 1_24">
          <a:extLst>
            <a:ext uri="{FF2B5EF4-FFF2-40B4-BE49-F238E27FC236}">
              <a16:creationId xmlns:a16="http://schemas.microsoft.com/office/drawing/2014/main" id="{EA9E0F99-6D2F-A07D-4FF6-9C1814D74BB6}"/>
            </a:ext>
          </a:extLst>
        </xdr:cNvPr>
        <xdr:cNvSpPr/>
      </xdr:nvSpPr>
      <xdr:spPr>
        <a:xfrm>
          <a:off x="1333500" y="1802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17</a:t>
          </a:r>
        </a:p>
      </xdr:txBody>
    </xdr:sp>
    <xdr:clientData/>
  </xdr:twoCellAnchor>
  <xdr:twoCellAnchor>
    <xdr:from>
      <xdr:col>2</xdr:col>
      <xdr:colOff>304800</xdr:colOff>
      <xdr:row>91</xdr:row>
      <xdr:rowOff>66675</xdr:rowOff>
    </xdr:from>
    <xdr:to>
      <xdr:col>2</xdr:col>
      <xdr:colOff>304800</xdr:colOff>
      <xdr:row>94</xdr:row>
      <xdr:rowOff>66675</xdr:rowOff>
    </xdr:to>
    <xdr:cxnSp macro="">
      <xdr:nvCxnSpPr>
        <xdr:cNvPr id="99" name="lin_Splitter 1_24">
          <a:extLst>
            <a:ext uri="{FF2B5EF4-FFF2-40B4-BE49-F238E27FC236}">
              <a16:creationId xmlns:a16="http://schemas.microsoft.com/office/drawing/2014/main" id="{E995454E-8C93-82E0-BCB9-104B9C110EEB}"/>
            </a:ext>
          </a:extLst>
        </xdr:cNvPr>
        <xdr:cNvCxnSpPr/>
      </xdr:nvCxnSpPr>
      <xdr:spPr>
        <a:xfrm>
          <a:off x="1524000" y="17449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99</xdr:row>
      <xdr:rowOff>66675</xdr:rowOff>
    </xdr:from>
    <xdr:to>
      <xdr:col>2</xdr:col>
      <xdr:colOff>495300</xdr:colOff>
      <xdr:row>101</xdr:row>
      <xdr:rowOff>66675</xdr:rowOff>
    </xdr:to>
    <xdr:sp macro="" textlink="">
      <xdr:nvSpPr>
        <xdr:cNvPr id="102" name="sym_Splitter 1_25">
          <a:extLst>
            <a:ext uri="{FF2B5EF4-FFF2-40B4-BE49-F238E27FC236}">
              <a16:creationId xmlns:a16="http://schemas.microsoft.com/office/drawing/2014/main" id="{0A58754A-C666-6CED-B3B3-AADBAC36E4E0}"/>
            </a:ext>
          </a:extLst>
        </xdr:cNvPr>
        <xdr:cNvSpPr/>
      </xdr:nvSpPr>
      <xdr:spPr>
        <a:xfrm>
          <a:off x="1333500" y="1897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18</a:t>
          </a:r>
        </a:p>
      </xdr:txBody>
    </xdr:sp>
    <xdr:clientData/>
  </xdr:twoCellAnchor>
  <xdr:twoCellAnchor>
    <xdr:from>
      <xdr:col>2</xdr:col>
      <xdr:colOff>304800</xdr:colOff>
      <xdr:row>96</xdr:row>
      <xdr:rowOff>66675</xdr:rowOff>
    </xdr:from>
    <xdr:to>
      <xdr:col>2</xdr:col>
      <xdr:colOff>304800</xdr:colOff>
      <xdr:row>99</xdr:row>
      <xdr:rowOff>66675</xdr:rowOff>
    </xdr:to>
    <xdr:cxnSp macro="">
      <xdr:nvCxnSpPr>
        <xdr:cNvPr id="103" name="lin_Splitter 1_25">
          <a:extLst>
            <a:ext uri="{FF2B5EF4-FFF2-40B4-BE49-F238E27FC236}">
              <a16:creationId xmlns:a16="http://schemas.microsoft.com/office/drawing/2014/main" id="{3E41A3D4-833C-623D-BA00-E740AC892622}"/>
            </a:ext>
          </a:extLst>
        </xdr:cNvPr>
        <xdr:cNvCxnSpPr/>
      </xdr:nvCxnSpPr>
      <xdr:spPr>
        <a:xfrm>
          <a:off x="1524000" y="1840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100</xdr:row>
      <xdr:rowOff>66675</xdr:rowOff>
    </xdr:from>
    <xdr:to>
      <xdr:col>1</xdr:col>
      <xdr:colOff>326981</xdr:colOff>
      <xdr:row>102</xdr:row>
      <xdr:rowOff>30128</xdr:rowOff>
    </xdr:to>
    <xdr:sp macro="" textlink="">
      <xdr:nvSpPr>
        <xdr:cNvPr id="106" name="Rectangle 105">
          <a:extLst>
            <a:ext uri="{FF2B5EF4-FFF2-40B4-BE49-F238E27FC236}">
              <a16:creationId xmlns:a16="http://schemas.microsoft.com/office/drawing/2014/main" id="{94683247-44D0-D34E-97AB-F4FCEE67A59E}"/>
            </a:ext>
          </a:extLst>
        </xdr:cNvPr>
        <xdr:cNvSpPr/>
      </xdr:nvSpPr>
      <xdr:spPr>
        <a:xfrm>
          <a:off x="282619" y="19164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-19.21dBm</a:t>
          </a:r>
        </a:p>
      </xdr:txBody>
    </xdr:sp>
    <xdr:clientData/>
  </xdr:twoCellAnchor>
  <xdr:twoCellAnchor>
    <xdr:from>
      <xdr:col>1</xdr:col>
      <xdr:colOff>326981</xdr:colOff>
      <xdr:row>100</xdr:row>
      <xdr:rowOff>66675</xdr:rowOff>
    </xdr:from>
    <xdr:to>
      <xdr:col>2</xdr:col>
      <xdr:colOff>114300</xdr:colOff>
      <xdr:row>100</xdr:row>
      <xdr:rowOff>66675</xdr:rowOff>
    </xdr:to>
    <xdr:cxnSp macro="">
      <xdr:nvCxnSpPr>
        <xdr:cNvPr id="107" name="Straight Arrow Connector 106">
          <a:extLst>
            <a:ext uri="{FF2B5EF4-FFF2-40B4-BE49-F238E27FC236}">
              <a16:creationId xmlns:a16="http://schemas.microsoft.com/office/drawing/2014/main" id="{C0A68BCF-0A18-2479-19B7-3647F6D3A2DA}"/>
            </a:ext>
          </a:extLst>
        </xdr:cNvPr>
        <xdr:cNvCxnSpPr/>
      </xdr:nvCxnSpPr>
      <xdr:spPr>
        <a:xfrm>
          <a:off x="936581" y="19164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495300</xdr:colOff>
      <xdr:row>95</xdr:row>
      <xdr:rowOff>66675</xdr:rowOff>
    </xdr:from>
    <xdr:to>
      <xdr:col>8</xdr:col>
      <xdr:colOff>0</xdr:colOff>
      <xdr:row>95</xdr:row>
      <xdr:rowOff>66675</xdr:rowOff>
    </xdr:to>
    <xdr:cxnSp macro="">
      <xdr:nvCxnSpPr>
        <xdr:cNvPr id="108" name="Straight Arrow Connector 107">
          <a:extLst>
            <a:ext uri="{FF2B5EF4-FFF2-40B4-BE49-F238E27FC236}">
              <a16:creationId xmlns:a16="http://schemas.microsoft.com/office/drawing/2014/main" id="{AE6D7B31-342C-DFCB-8B57-5B7303FE1C4D}"/>
            </a:ext>
          </a:extLst>
        </xdr:cNvPr>
        <xdr:cNvCxnSpPr/>
      </xdr:nvCxnSpPr>
      <xdr:spPr>
        <a:xfrm>
          <a:off x="1714500" y="18211800"/>
          <a:ext cx="31623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419100</xdr:colOff>
      <xdr:row>99</xdr:row>
      <xdr:rowOff>66675</xdr:rowOff>
    </xdr:from>
    <xdr:to>
      <xdr:col>8</xdr:col>
      <xdr:colOff>190500</xdr:colOff>
      <xdr:row>101</xdr:row>
      <xdr:rowOff>66675</xdr:rowOff>
    </xdr:to>
    <xdr:sp macro="" textlink="">
      <xdr:nvSpPr>
        <xdr:cNvPr id="110" name="sym_Splitter 1_64" descr="Splitter 1~24">
          <a:extLst>
            <a:ext uri="{FF2B5EF4-FFF2-40B4-BE49-F238E27FC236}">
              <a16:creationId xmlns:a16="http://schemas.microsoft.com/office/drawing/2014/main" id="{09CDCFE5-BE38-8F4B-6935-C40C9F96F0CA}"/>
            </a:ext>
          </a:extLst>
        </xdr:cNvPr>
        <xdr:cNvSpPr/>
      </xdr:nvSpPr>
      <xdr:spPr>
        <a:xfrm>
          <a:off x="4686300" y="1897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8</xdr:col>
      <xdr:colOff>0</xdr:colOff>
      <xdr:row>95</xdr:row>
      <xdr:rowOff>66675</xdr:rowOff>
    </xdr:from>
    <xdr:to>
      <xdr:col>8</xdr:col>
      <xdr:colOff>0</xdr:colOff>
      <xdr:row>99</xdr:row>
      <xdr:rowOff>66675</xdr:rowOff>
    </xdr:to>
    <xdr:cxnSp macro="">
      <xdr:nvCxnSpPr>
        <xdr:cNvPr id="111" name="lin_Splitter 1_64">
          <a:extLst>
            <a:ext uri="{FF2B5EF4-FFF2-40B4-BE49-F238E27FC236}">
              <a16:creationId xmlns:a16="http://schemas.microsoft.com/office/drawing/2014/main" id="{7DB997B8-DCD1-1431-EA82-C5E985AB28F8}"/>
            </a:ext>
          </a:extLst>
        </xdr:cNvPr>
        <xdr:cNvCxnSpPr/>
      </xdr:nvCxnSpPr>
      <xdr:spPr>
        <a:xfrm>
          <a:off x="4876800" y="18211800"/>
          <a:ext cx="0" cy="7620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587419</xdr:colOff>
      <xdr:row>100</xdr:row>
      <xdr:rowOff>66675</xdr:rowOff>
    </xdr:from>
    <xdr:to>
      <xdr:col>7</xdr:col>
      <xdr:colOff>22181</xdr:colOff>
      <xdr:row>102</xdr:row>
      <xdr:rowOff>30128</xdr:rowOff>
    </xdr:to>
    <xdr:sp macro="" textlink="">
      <xdr:nvSpPr>
        <xdr:cNvPr id="114" name="Rectangle 113">
          <a:extLst>
            <a:ext uri="{FF2B5EF4-FFF2-40B4-BE49-F238E27FC236}">
              <a16:creationId xmlns:a16="http://schemas.microsoft.com/office/drawing/2014/main" id="{02FF0A4B-F011-BA49-AA00-549E64109F59}"/>
            </a:ext>
          </a:extLst>
        </xdr:cNvPr>
        <xdr:cNvSpPr/>
      </xdr:nvSpPr>
      <xdr:spPr>
        <a:xfrm>
          <a:off x="3635419" y="19164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-20.73dBm</a:t>
          </a:r>
        </a:p>
      </xdr:txBody>
    </xdr:sp>
    <xdr:clientData/>
  </xdr:twoCellAnchor>
  <xdr:twoCellAnchor>
    <xdr:from>
      <xdr:col>7</xdr:col>
      <xdr:colOff>22181</xdr:colOff>
      <xdr:row>100</xdr:row>
      <xdr:rowOff>66675</xdr:rowOff>
    </xdr:from>
    <xdr:to>
      <xdr:col>7</xdr:col>
      <xdr:colOff>419100</xdr:colOff>
      <xdr:row>100</xdr:row>
      <xdr:rowOff>66675</xdr:rowOff>
    </xdr:to>
    <xdr:cxnSp macro="">
      <xdr:nvCxnSpPr>
        <xdr:cNvPr id="115" name="Straight Arrow Connector 114">
          <a:extLst>
            <a:ext uri="{FF2B5EF4-FFF2-40B4-BE49-F238E27FC236}">
              <a16:creationId xmlns:a16="http://schemas.microsoft.com/office/drawing/2014/main" id="{1BD53B54-1048-F946-56EB-D8277B07FEE1}"/>
            </a:ext>
          </a:extLst>
        </xdr:cNvPr>
        <xdr:cNvCxnSpPr/>
      </xdr:nvCxnSpPr>
      <xdr:spPr>
        <a:xfrm>
          <a:off x="4289381" y="19164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495300</xdr:colOff>
      <xdr:row>85</xdr:row>
      <xdr:rowOff>66675</xdr:rowOff>
    </xdr:from>
    <xdr:to>
      <xdr:col>13</xdr:col>
      <xdr:colOff>304800</xdr:colOff>
      <xdr:row>85</xdr:row>
      <xdr:rowOff>66675</xdr:rowOff>
    </xdr:to>
    <xdr:cxnSp macro="">
      <xdr:nvCxnSpPr>
        <xdr:cNvPr id="116" name="Straight Arrow Connector 115">
          <a:extLst>
            <a:ext uri="{FF2B5EF4-FFF2-40B4-BE49-F238E27FC236}">
              <a16:creationId xmlns:a16="http://schemas.microsoft.com/office/drawing/2014/main" id="{E8C85D12-025A-5B78-ACD5-623D00BF6EDB}"/>
            </a:ext>
          </a:extLst>
        </xdr:cNvPr>
        <xdr:cNvCxnSpPr/>
      </xdr:nvCxnSpPr>
      <xdr:spPr>
        <a:xfrm>
          <a:off x="1714500" y="16306800"/>
          <a:ext cx="65151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114300</xdr:colOff>
      <xdr:row>89</xdr:row>
      <xdr:rowOff>66675</xdr:rowOff>
    </xdr:from>
    <xdr:to>
      <xdr:col>13</xdr:col>
      <xdr:colOff>495300</xdr:colOff>
      <xdr:row>91</xdr:row>
      <xdr:rowOff>66675</xdr:rowOff>
    </xdr:to>
    <xdr:sp macro="" textlink="">
      <xdr:nvSpPr>
        <xdr:cNvPr id="118" name="sym_Splitter 1_43" descr="Splitter 1~22">
          <a:extLst>
            <a:ext uri="{FF2B5EF4-FFF2-40B4-BE49-F238E27FC236}">
              <a16:creationId xmlns:a16="http://schemas.microsoft.com/office/drawing/2014/main" id="{FE09ABA1-F8B5-1BE8-136A-92EA70D4DBFF}"/>
            </a:ext>
          </a:extLst>
        </xdr:cNvPr>
        <xdr:cNvSpPr/>
      </xdr:nvSpPr>
      <xdr:spPr>
        <a:xfrm>
          <a:off x="8039100" y="1706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13</xdr:col>
      <xdr:colOff>304800</xdr:colOff>
      <xdr:row>85</xdr:row>
      <xdr:rowOff>66675</xdr:rowOff>
    </xdr:from>
    <xdr:to>
      <xdr:col>13</xdr:col>
      <xdr:colOff>304800</xdr:colOff>
      <xdr:row>89</xdr:row>
      <xdr:rowOff>66675</xdr:rowOff>
    </xdr:to>
    <xdr:cxnSp macro="">
      <xdr:nvCxnSpPr>
        <xdr:cNvPr id="119" name="lin_Splitter 1_43">
          <a:extLst>
            <a:ext uri="{FF2B5EF4-FFF2-40B4-BE49-F238E27FC236}">
              <a16:creationId xmlns:a16="http://schemas.microsoft.com/office/drawing/2014/main" id="{B092FC36-7035-DB2F-70C4-D8F882A406FF}"/>
            </a:ext>
          </a:extLst>
        </xdr:cNvPr>
        <xdr:cNvCxnSpPr/>
      </xdr:nvCxnSpPr>
      <xdr:spPr>
        <a:xfrm>
          <a:off x="8229600" y="16306800"/>
          <a:ext cx="0" cy="7620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282619</xdr:colOff>
      <xdr:row>90</xdr:row>
      <xdr:rowOff>66675</xdr:rowOff>
    </xdr:from>
    <xdr:to>
      <xdr:col>12</xdr:col>
      <xdr:colOff>326981</xdr:colOff>
      <xdr:row>92</xdr:row>
      <xdr:rowOff>30128</xdr:rowOff>
    </xdr:to>
    <xdr:sp macro="" textlink="">
      <xdr:nvSpPr>
        <xdr:cNvPr id="122" name="Rectangle 121">
          <a:extLst>
            <a:ext uri="{FF2B5EF4-FFF2-40B4-BE49-F238E27FC236}">
              <a16:creationId xmlns:a16="http://schemas.microsoft.com/office/drawing/2014/main" id="{05AF02DC-B829-37E2-9A20-F99D5F99B87E}"/>
            </a:ext>
          </a:extLst>
        </xdr:cNvPr>
        <xdr:cNvSpPr/>
      </xdr:nvSpPr>
      <xdr:spPr>
        <a:xfrm>
          <a:off x="6988219" y="1725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-23.82dBm</a:t>
          </a:r>
        </a:p>
      </xdr:txBody>
    </xdr:sp>
    <xdr:clientData/>
  </xdr:twoCellAnchor>
  <xdr:twoCellAnchor>
    <xdr:from>
      <xdr:col>12</xdr:col>
      <xdr:colOff>326982</xdr:colOff>
      <xdr:row>90</xdr:row>
      <xdr:rowOff>66675</xdr:rowOff>
    </xdr:from>
    <xdr:to>
      <xdr:col>13</xdr:col>
      <xdr:colOff>114300</xdr:colOff>
      <xdr:row>90</xdr:row>
      <xdr:rowOff>66675</xdr:rowOff>
    </xdr:to>
    <xdr:cxnSp macro="">
      <xdr:nvCxnSpPr>
        <xdr:cNvPr id="123" name="Straight Arrow Connector 122">
          <a:extLst>
            <a:ext uri="{FF2B5EF4-FFF2-40B4-BE49-F238E27FC236}">
              <a16:creationId xmlns:a16="http://schemas.microsoft.com/office/drawing/2014/main" id="{BF846277-9428-4F21-7F17-ECDE2E50EA67}"/>
            </a:ext>
          </a:extLst>
        </xdr:cNvPr>
        <xdr:cNvCxnSpPr/>
      </xdr:nvCxnSpPr>
      <xdr:spPr>
        <a:xfrm>
          <a:off x="7642182" y="17259300"/>
          <a:ext cx="396918"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295275</xdr:colOff>
          <xdr:row>4</xdr:row>
          <xdr:rowOff>28575</xdr:rowOff>
        </xdr:from>
        <xdr:to>
          <xdr:col>5</xdr:col>
          <xdr:colOff>552450</xdr:colOff>
          <xdr:row>5</xdr:row>
          <xdr:rowOff>180975</xdr:rowOff>
        </xdr:to>
        <xdr:sp macro="" textlink="">
          <xdr:nvSpPr>
            <xdr:cNvPr id="48129" name="CommandButton1" hidden="1">
              <a:extLst>
                <a:ext uri="{63B3BB69-23CF-44E3-9099-C40C66FF867C}">
                  <a14:compatExt spid="_x0000_s48129"/>
                </a:ext>
                <a:ext uri="{FF2B5EF4-FFF2-40B4-BE49-F238E27FC236}">
                  <a16:creationId xmlns:a16="http://schemas.microsoft.com/office/drawing/2014/main" id="{6BFA819E-EA86-4E59-85B0-DECA169D5F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19050</xdr:colOff>
      <xdr:row>0</xdr:row>
      <xdr:rowOff>0</xdr:rowOff>
    </xdr:from>
    <xdr:to>
      <xdr:col>2</xdr:col>
      <xdr:colOff>666750</xdr:colOff>
      <xdr:row>0</xdr:row>
      <xdr:rowOff>616925</xdr:rowOff>
    </xdr:to>
    <xdr:pic>
      <xdr:nvPicPr>
        <xdr:cNvPr id="2" name="Picture 1">
          <a:extLst>
            <a:ext uri="{FF2B5EF4-FFF2-40B4-BE49-F238E27FC236}">
              <a16:creationId xmlns:a16="http://schemas.microsoft.com/office/drawing/2014/main" id="{AEBE60F5-74EB-490A-AC41-B8884C9A1BC2}"/>
            </a:ext>
          </a:extLst>
        </xdr:cNvPr>
        <xdr:cNvPicPr>
          <a:picLocks noChangeAspect="1"/>
        </xdr:cNvPicPr>
      </xdr:nvPicPr>
      <xdr:blipFill>
        <a:blip xmlns:r="http://schemas.openxmlformats.org/officeDocument/2006/relationships" r:embed="rId1"/>
        <a:stretch>
          <a:fillRect/>
        </a:stretch>
      </xdr:blipFill>
      <xdr:spPr>
        <a:xfrm>
          <a:off x="19050" y="0"/>
          <a:ext cx="2066925" cy="616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66675</xdr:colOff>
          <xdr:row>4</xdr:row>
          <xdr:rowOff>28575</xdr:rowOff>
        </xdr:from>
        <xdr:to>
          <xdr:col>4</xdr:col>
          <xdr:colOff>266700</xdr:colOff>
          <xdr:row>5</xdr:row>
          <xdr:rowOff>180975</xdr:rowOff>
        </xdr:to>
        <xdr:sp macro="" textlink="">
          <xdr:nvSpPr>
            <xdr:cNvPr id="48130" name="CommandButton3" hidden="1">
              <a:extLst>
                <a:ext uri="{63B3BB69-23CF-44E3-9099-C40C66FF867C}">
                  <a14:compatExt spid="_x0000_s48130"/>
                </a:ext>
                <a:ext uri="{FF2B5EF4-FFF2-40B4-BE49-F238E27FC236}">
                  <a16:creationId xmlns:a16="http://schemas.microsoft.com/office/drawing/2014/main" id="{A2E6453F-5008-4D05-A898-09A84B095AD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295275</xdr:colOff>
          <xdr:row>4</xdr:row>
          <xdr:rowOff>28575</xdr:rowOff>
        </xdr:from>
        <xdr:to>
          <xdr:col>5</xdr:col>
          <xdr:colOff>552450</xdr:colOff>
          <xdr:row>5</xdr:row>
          <xdr:rowOff>180975</xdr:rowOff>
        </xdr:to>
        <xdr:sp macro="" textlink="">
          <xdr:nvSpPr>
            <xdr:cNvPr id="45057" name="CommandButton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19050</xdr:colOff>
      <xdr:row>0</xdr:row>
      <xdr:rowOff>0</xdr:rowOff>
    </xdr:from>
    <xdr:to>
      <xdr:col>2</xdr:col>
      <xdr:colOff>666750</xdr:colOff>
      <xdr:row>0</xdr:row>
      <xdr:rowOff>616925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0" y="0"/>
          <a:ext cx="2066925" cy="616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66675</xdr:colOff>
          <xdr:row>4</xdr:row>
          <xdr:rowOff>28575</xdr:rowOff>
        </xdr:from>
        <xdr:to>
          <xdr:col>4</xdr:col>
          <xdr:colOff>266700</xdr:colOff>
          <xdr:row>5</xdr:row>
          <xdr:rowOff>180975</xdr:rowOff>
        </xdr:to>
        <xdr:sp macro="" textlink="">
          <xdr:nvSpPr>
            <xdr:cNvPr id="45058" name="CommandButton3" hidden="1">
              <a:extLst>
                <a:ext uri="{63B3BB69-23CF-44E3-9099-C40C66FF867C}">
                  <a14:compatExt spid="_x0000_s45058"/>
                </a:ext>
                <a:ext uri="{FF2B5EF4-FFF2-40B4-BE49-F238E27FC236}">
                  <a16:creationId xmlns:a16="http://schemas.microsoft.com/office/drawing/2014/main" id="{00000000-0008-0000-04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24</xdr:col>
      <xdr:colOff>38100</xdr:colOff>
      <xdr:row>47</xdr:row>
      <xdr:rowOff>43966</xdr:rowOff>
    </xdr:from>
    <xdr:ext cx="529119" cy="378309"/>
    <xdr:sp macro="" textlink="">
      <xdr:nvSpPr>
        <xdr:cNvPr id="137" name="TextBox 136">
          <a:extLst>
            <a:ext uri="{FF2B5EF4-FFF2-40B4-BE49-F238E27FC236}">
              <a16:creationId xmlns:a16="http://schemas.microsoft.com/office/drawing/2014/main" id="{AD1C3DAB-062E-1D8F-321C-ECFA61C4BC53}"/>
            </a:ext>
          </a:extLst>
        </xdr:cNvPr>
        <xdr:cNvSpPr txBox="1"/>
      </xdr:nvSpPr>
      <xdr:spPr>
        <a:xfrm>
          <a:off x="14668500" y="9045091"/>
          <a:ext cx="529119" cy="3783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1273</a:t>
          </a:r>
        </a:p>
        <a:p>
          <a:pPr algn="ctr"/>
          <a:r>
            <a:rPr lang="en-US" sz="1100"/>
            <a:t>Feet</a:t>
          </a:r>
        </a:p>
      </xdr:txBody>
    </xdr:sp>
    <xdr:clientData/>
  </xdr:oneCellAnchor>
  <xdr:oneCellAnchor>
    <xdr:from>
      <xdr:col>24</xdr:col>
      <xdr:colOff>495300</xdr:colOff>
      <xdr:row>48</xdr:row>
      <xdr:rowOff>66675</xdr:rowOff>
    </xdr:from>
    <xdr:ext cx="1059649" cy="781240"/>
    <xdr:sp macro="" textlink="">
      <xdr:nvSpPr>
        <xdr:cNvPr id="136" name="TextBox 135">
          <a:extLst>
            <a:ext uri="{FF2B5EF4-FFF2-40B4-BE49-F238E27FC236}">
              <a16:creationId xmlns:a16="http://schemas.microsoft.com/office/drawing/2014/main" id="{DDAEFA17-A088-8B64-013A-AE7328CD965A}"/>
            </a:ext>
          </a:extLst>
        </xdr:cNvPr>
        <xdr:cNvSpPr txBox="1"/>
      </xdr:nvSpPr>
      <xdr:spPr>
        <a:xfrm>
          <a:off x="15125700" y="925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1202/@013</a:t>
          </a:r>
        </a:p>
        <a:p>
          <a:pPr algn="l"/>
          <a:r>
            <a:rPr lang="en-US" sz="1100"/>
            <a:t>USBM1X8</a:t>
          </a:r>
        </a:p>
        <a:p>
          <a:pPr algn="l"/>
          <a:r>
            <a:rPr lang="en-US" sz="1100"/>
            <a:t>-11.31dBm In</a:t>
          </a:r>
        </a:p>
        <a:p>
          <a:pPr algn="l"/>
          <a:r>
            <a:rPr lang="en-US" sz="1100"/>
            <a:t>-21.95dBm Out</a:t>
          </a:r>
        </a:p>
      </xdr:txBody>
    </xdr:sp>
    <xdr:clientData/>
  </xdr:oneCellAnchor>
  <xdr:oneCellAnchor>
    <xdr:from>
      <xdr:col>24</xdr:col>
      <xdr:colOff>38100</xdr:colOff>
      <xdr:row>42</xdr:row>
      <xdr:rowOff>77437</xdr:rowOff>
    </xdr:from>
    <xdr:ext cx="529119" cy="344838"/>
    <xdr:sp macro="" textlink="">
      <xdr:nvSpPr>
        <xdr:cNvPr id="131" name="TextBox 130">
          <a:extLst>
            <a:ext uri="{FF2B5EF4-FFF2-40B4-BE49-F238E27FC236}">
              <a16:creationId xmlns:a16="http://schemas.microsoft.com/office/drawing/2014/main" id="{B9758378-7BD6-CB8E-5411-FF8FBC6A05E8}"/>
            </a:ext>
          </a:extLst>
        </xdr:cNvPr>
        <xdr:cNvSpPr txBox="1"/>
      </xdr:nvSpPr>
      <xdr:spPr>
        <a:xfrm>
          <a:off x="14668500" y="8126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759</a:t>
          </a:r>
        </a:p>
        <a:p>
          <a:pPr algn="ctr"/>
          <a:r>
            <a:rPr lang="en-US" sz="1100"/>
            <a:t>Feet</a:t>
          </a:r>
        </a:p>
      </xdr:txBody>
    </xdr:sp>
    <xdr:clientData/>
  </xdr:oneCellAnchor>
  <xdr:oneCellAnchor>
    <xdr:from>
      <xdr:col>24</xdr:col>
      <xdr:colOff>495300</xdr:colOff>
      <xdr:row>43</xdr:row>
      <xdr:rowOff>66675</xdr:rowOff>
    </xdr:from>
    <xdr:ext cx="1059649" cy="781240"/>
    <xdr:sp macro="" textlink="">
      <xdr:nvSpPr>
        <xdr:cNvPr id="130" name="TextBox 129">
          <a:extLst>
            <a:ext uri="{FF2B5EF4-FFF2-40B4-BE49-F238E27FC236}">
              <a16:creationId xmlns:a16="http://schemas.microsoft.com/office/drawing/2014/main" id="{2523FC74-550E-33FF-B7CE-75654A5FF784}"/>
            </a:ext>
          </a:extLst>
        </xdr:cNvPr>
        <xdr:cNvSpPr txBox="1"/>
      </xdr:nvSpPr>
      <xdr:spPr>
        <a:xfrm>
          <a:off x="15125700" y="830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1202/@511</a:t>
          </a:r>
        </a:p>
        <a:p>
          <a:pPr algn="l"/>
          <a:r>
            <a:rPr lang="en-US" sz="1100"/>
            <a:t>USBM1X4</a:t>
          </a:r>
        </a:p>
        <a:p>
          <a:pPr algn="l"/>
          <a:r>
            <a:rPr lang="en-US" sz="1100"/>
            <a:t>-11.14dBm In</a:t>
          </a:r>
        </a:p>
        <a:p>
          <a:pPr algn="l"/>
          <a:r>
            <a:rPr lang="en-US" sz="1100"/>
            <a:t>-18.38dBm Out</a:t>
          </a:r>
        </a:p>
      </xdr:txBody>
    </xdr:sp>
    <xdr:clientData/>
  </xdr:oneCellAnchor>
  <xdr:oneCellAnchor>
    <xdr:from>
      <xdr:col>24</xdr:col>
      <xdr:colOff>38100</xdr:colOff>
      <xdr:row>37</xdr:row>
      <xdr:rowOff>43966</xdr:rowOff>
    </xdr:from>
    <xdr:ext cx="529119" cy="378309"/>
    <xdr:sp macro="" textlink="">
      <xdr:nvSpPr>
        <xdr:cNvPr id="125" name="TextBox 124">
          <a:extLst>
            <a:ext uri="{FF2B5EF4-FFF2-40B4-BE49-F238E27FC236}">
              <a16:creationId xmlns:a16="http://schemas.microsoft.com/office/drawing/2014/main" id="{E2BC0B7F-EACE-DB1C-6B41-3EE99F9FC223}"/>
            </a:ext>
          </a:extLst>
        </xdr:cNvPr>
        <xdr:cNvSpPr txBox="1"/>
      </xdr:nvSpPr>
      <xdr:spPr>
        <a:xfrm>
          <a:off x="14668500" y="7140091"/>
          <a:ext cx="529119" cy="3783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1113</a:t>
          </a:r>
        </a:p>
        <a:p>
          <a:pPr algn="ctr"/>
          <a:r>
            <a:rPr lang="en-US" sz="1100"/>
            <a:t>Feet</a:t>
          </a:r>
        </a:p>
      </xdr:txBody>
    </xdr:sp>
    <xdr:clientData/>
  </xdr:oneCellAnchor>
  <xdr:oneCellAnchor>
    <xdr:from>
      <xdr:col>24</xdr:col>
      <xdr:colOff>495300</xdr:colOff>
      <xdr:row>38</xdr:row>
      <xdr:rowOff>66675</xdr:rowOff>
    </xdr:from>
    <xdr:ext cx="1059649" cy="781240"/>
    <xdr:sp macro="" textlink="">
      <xdr:nvSpPr>
        <xdr:cNvPr id="124" name="TextBox 123">
          <a:extLst>
            <a:ext uri="{FF2B5EF4-FFF2-40B4-BE49-F238E27FC236}">
              <a16:creationId xmlns:a16="http://schemas.microsoft.com/office/drawing/2014/main" id="{76F23D71-D2CC-D235-0FAC-2BCD82D55F39}"/>
            </a:ext>
          </a:extLst>
        </xdr:cNvPr>
        <xdr:cNvSpPr txBox="1"/>
      </xdr:nvSpPr>
      <xdr:spPr>
        <a:xfrm>
          <a:off x="15125700" y="735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1202/@509</a:t>
          </a:r>
        </a:p>
        <a:p>
          <a:pPr algn="l"/>
          <a:r>
            <a:rPr lang="en-US" sz="1100"/>
            <a:t>USBM1X4</a:t>
          </a:r>
        </a:p>
        <a:p>
          <a:pPr algn="l"/>
          <a:r>
            <a:rPr lang="en-US" sz="1100"/>
            <a:t>-11.03dBm In</a:t>
          </a:r>
        </a:p>
        <a:p>
          <a:pPr algn="l"/>
          <a:r>
            <a:rPr lang="en-US" sz="1100"/>
            <a:t>-18.27dBm Out</a:t>
          </a:r>
        </a:p>
      </xdr:txBody>
    </xdr:sp>
    <xdr:clientData/>
  </xdr:oneCellAnchor>
  <xdr:oneCellAnchor>
    <xdr:from>
      <xdr:col>24</xdr:col>
      <xdr:colOff>38100</xdr:colOff>
      <xdr:row>32</xdr:row>
      <xdr:rowOff>77437</xdr:rowOff>
    </xdr:from>
    <xdr:ext cx="529119" cy="344838"/>
    <xdr:sp macro="" textlink="">
      <xdr:nvSpPr>
        <xdr:cNvPr id="119" name="TextBox 118">
          <a:extLst>
            <a:ext uri="{FF2B5EF4-FFF2-40B4-BE49-F238E27FC236}">
              <a16:creationId xmlns:a16="http://schemas.microsoft.com/office/drawing/2014/main" id="{90955FF1-A746-72BF-D185-F935B83BE03C}"/>
            </a:ext>
          </a:extLst>
        </xdr:cNvPr>
        <xdr:cNvSpPr txBox="1"/>
      </xdr:nvSpPr>
      <xdr:spPr>
        <a:xfrm>
          <a:off x="14668500" y="622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819</a:t>
          </a:r>
        </a:p>
        <a:p>
          <a:pPr algn="ctr"/>
          <a:r>
            <a:rPr lang="en-US" sz="1100"/>
            <a:t>Feet</a:t>
          </a:r>
        </a:p>
      </xdr:txBody>
    </xdr:sp>
    <xdr:clientData/>
  </xdr:oneCellAnchor>
  <xdr:oneCellAnchor>
    <xdr:from>
      <xdr:col>24</xdr:col>
      <xdr:colOff>495300</xdr:colOff>
      <xdr:row>33</xdr:row>
      <xdr:rowOff>66675</xdr:rowOff>
    </xdr:from>
    <xdr:ext cx="1059649" cy="781240"/>
    <xdr:sp macro="" textlink="">
      <xdr:nvSpPr>
        <xdr:cNvPr id="118" name="TextBox 117">
          <a:extLst>
            <a:ext uri="{FF2B5EF4-FFF2-40B4-BE49-F238E27FC236}">
              <a16:creationId xmlns:a16="http://schemas.microsoft.com/office/drawing/2014/main" id="{7B0A1B7A-35A9-4A4D-DB2A-77C73EB407E8}"/>
            </a:ext>
          </a:extLst>
        </xdr:cNvPr>
        <xdr:cNvSpPr txBox="1"/>
      </xdr:nvSpPr>
      <xdr:spPr>
        <a:xfrm>
          <a:off x="15125700" y="640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1202/@504</a:t>
          </a:r>
        </a:p>
        <a:p>
          <a:pPr algn="l"/>
          <a:r>
            <a:rPr lang="en-US" sz="1100"/>
            <a:t>USBM1X8</a:t>
          </a:r>
        </a:p>
        <a:p>
          <a:pPr algn="l"/>
          <a:r>
            <a:rPr lang="en-US" sz="1100"/>
            <a:t>-10.88dBm In</a:t>
          </a:r>
        </a:p>
        <a:p>
          <a:pPr algn="l"/>
          <a:r>
            <a:rPr lang="en-US" sz="1100"/>
            <a:t>-21.52dBm Out</a:t>
          </a:r>
        </a:p>
      </xdr:txBody>
    </xdr:sp>
    <xdr:clientData/>
  </xdr:oneCellAnchor>
  <xdr:oneCellAnchor>
    <xdr:from>
      <xdr:col>22</xdr:col>
      <xdr:colOff>495300</xdr:colOff>
      <xdr:row>29</xdr:row>
      <xdr:rowOff>28575</xdr:rowOff>
    </xdr:from>
    <xdr:ext cx="697370" cy="264560"/>
    <xdr:sp macro="" textlink="">
      <xdr:nvSpPr>
        <xdr:cNvPr id="115" name="TextBox 114">
          <a:extLst>
            <a:ext uri="{FF2B5EF4-FFF2-40B4-BE49-F238E27FC236}">
              <a16:creationId xmlns:a16="http://schemas.microsoft.com/office/drawing/2014/main" id="{2796D18D-DF55-F4F9-3EA1-AE04F57D0E80}"/>
            </a:ext>
          </a:extLst>
        </xdr:cNvPr>
        <xdr:cNvSpPr txBox="1"/>
      </xdr:nvSpPr>
      <xdr:spPr>
        <a:xfrm>
          <a:off x="13906500" y="5600700"/>
          <a:ext cx="697370"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b="1"/>
            <a:t>Branch 2</a:t>
          </a:r>
        </a:p>
      </xdr:txBody>
    </xdr:sp>
    <xdr:clientData/>
  </xdr:oneCellAnchor>
  <xdr:oneCellAnchor>
    <xdr:from>
      <xdr:col>18</xdr:col>
      <xdr:colOff>342900</xdr:colOff>
      <xdr:row>52</xdr:row>
      <xdr:rowOff>77437</xdr:rowOff>
    </xdr:from>
    <xdr:ext cx="529119" cy="344838"/>
    <xdr:sp macro="" textlink="">
      <xdr:nvSpPr>
        <xdr:cNvPr id="111" name="TextBox 110">
          <a:extLst>
            <a:ext uri="{FF2B5EF4-FFF2-40B4-BE49-F238E27FC236}">
              <a16:creationId xmlns:a16="http://schemas.microsoft.com/office/drawing/2014/main" id="{617C9DC6-F0C4-ED51-94BF-742B37DA8F6E}"/>
            </a:ext>
          </a:extLst>
        </xdr:cNvPr>
        <xdr:cNvSpPr txBox="1"/>
      </xdr:nvSpPr>
      <xdr:spPr>
        <a:xfrm>
          <a:off x="11315700" y="1003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665</a:t>
          </a:r>
        </a:p>
        <a:p>
          <a:pPr algn="ctr"/>
          <a:r>
            <a:rPr lang="en-US" sz="1100"/>
            <a:t>Feet</a:t>
          </a:r>
        </a:p>
      </xdr:txBody>
    </xdr:sp>
    <xdr:clientData/>
  </xdr:oneCellAnchor>
  <xdr:oneCellAnchor>
    <xdr:from>
      <xdr:col>19</xdr:col>
      <xdr:colOff>190500</xdr:colOff>
      <xdr:row>53</xdr:row>
      <xdr:rowOff>66675</xdr:rowOff>
    </xdr:from>
    <xdr:ext cx="1059649" cy="781240"/>
    <xdr:sp macro="" textlink="">
      <xdr:nvSpPr>
        <xdr:cNvPr id="110" name="TextBox 109">
          <a:extLst>
            <a:ext uri="{FF2B5EF4-FFF2-40B4-BE49-F238E27FC236}">
              <a16:creationId xmlns:a16="http://schemas.microsoft.com/office/drawing/2014/main" id="{BA840764-9D05-6EFA-9A5B-82FB12968425}"/>
            </a:ext>
          </a:extLst>
        </xdr:cNvPr>
        <xdr:cNvSpPr txBox="1"/>
      </xdr:nvSpPr>
      <xdr:spPr>
        <a:xfrm>
          <a:off x="11772900" y="1021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1097/@146</a:t>
          </a:r>
        </a:p>
        <a:p>
          <a:pPr algn="l"/>
          <a:r>
            <a:rPr lang="en-US" sz="1100"/>
            <a:t>USBM1X4</a:t>
          </a:r>
        </a:p>
        <a:p>
          <a:pPr algn="l"/>
          <a:r>
            <a:rPr lang="en-US" sz="1100"/>
            <a:t>-10.87dBm In</a:t>
          </a:r>
        </a:p>
        <a:p>
          <a:pPr algn="l"/>
          <a:r>
            <a:rPr lang="en-US" sz="1100"/>
            <a:t>-18.11dBm Out</a:t>
          </a:r>
        </a:p>
      </xdr:txBody>
    </xdr:sp>
    <xdr:clientData/>
  </xdr:oneCellAnchor>
  <xdr:oneCellAnchor>
    <xdr:from>
      <xdr:col>18</xdr:col>
      <xdr:colOff>342900</xdr:colOff>
      <xdr:row>47</xdr:row>
      <xdr:rowOff>77437</xdr:rowOff>
    </xdr:from>
    <xdr:ext cx="529119" cy="344838"/>
    <xdr:sp macro="" textlink="">
      <xdr:nvSpPr>
        <xdr:cNvPr id="105" name="TextBox 104">
          <a:extLst>
            <a:ext uri="{FF2B5EF4-FFF2-40B4-BE49-F238E27FC236}">
              <a16:creationId xmlns:a16="http://schemas.microsoft.com/office/drawing/2014/main" id="{4E6C76A5-53A1-5447-79F2-D9DCB3AB0322}"/>
            </a:ext>
          </a:extLst>
        </xdr:cNvPr>
        <xdr:cNvSpPr txBox="1"/>
      </xdr:nvSpPr>
      <xdr:spPr>
        <a:xfrm>
          <a:off x="11315700" y="907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488</a:t>
          </a:r>
        </a:p>
        <a:p>
          <a:pPr algn="ctr"/>
          <a:r>
            <a:rPr lang="en-US" sz="1100"/>
            <a:t>Feet</a:t>
          </a:r>
        </a:p>
      </xdr:txBody>
    </xdr:sp>
    <xdr:clientData/>
  </xdr:oneCellAnchor>
  <xdr:oneCellAnchor>
    <xdr:from>
      <xdr:col>19</xdr:col>
      <xdr:colOff>190500</xdr:colOff>
      <xdr:row>48</xdr:row>
      <xdr:rowOff>66675</xdr:rowOff>
    </xdr:from>
    <xdr:ext cx="1059649" cy="781240"/>
    <xdr:sp macro="" textlink="">
      <xdr:nvSpPr>
        <xdr:cNvPr id="104" name="TextBox 103">
          <a:extLst>
            <a:ext uri="{FF2B5EF4-FFF2-40B4-BE49-F238E27FC236}">
              <a16:creationId xmlns:a16="http://schemas.microsoft.com/office/drawing/2014/main" id="{467583B5-8883-578F-240C-24325BE17FA7}"/>
            </a:ext>
          </a:extLst>
        </xdr:cNvPr>
        <xdr:cNvSpPr txBox="1"/>
      </xdr:nvSpPr>
      <xdr:spPr>
        <a:xfrm>
          <a:off x="11772900" y="925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1097/@142</a:t>
          </a:r>
        </a:p>
        <a:p>
          <a:pPr algn="l"/>
          <a:r>
            <a:rPr lang="en-US" sz="1100"/>
            <a:t>USBM1X4</a:t>
          </a:r>
        </a:p>
        <a:p>
          <a:pPr algn="l"/>
          <a:r>
            <a:rPr lang="en-US" sz="1100"/>
            <a:t>-10.76dBm In</a:t>
          </a:r>
        </a:p>
        <a:p>
          <a:pPr algn="l"/>
          <a:r>
            <a:rPr lang="en-US" sz="1100"/>
            <a:t>-18.00dBm Out</a:t>
          </a:r>
        </a:p>
      </xdr:txBody>
    </xdr:sp>
    <xdr:clientData/>
  </xdr:oneCellAnchor>
  <xdr:oneCellAnchor>
    <xdr:from>
      <xdr:col>18</xdr:col>
      <xdr:colOff>342900</xdr:colOff>
      <xdr:row>42</xdr:row>
      <xdr:rowOff>77437</xdr:rowOff>
    </xdr:from>
    <xdr:ext cx="529119" cy="344838"/>
    <xdr:sp macro="" textlink="">
      <xdr:nvSpPr>
        <xdr:cNvPr id="99" name="TextBox 98">
          <a:extLst>
            <a:ext uri="{FF2B5EF4-FFF2-40B4-BE49-F238E27FC236}">
              <a16:creationId xmlns:a16="http://schemas.microsoft.com/office/drawing/2014/main" id="{BB4DB0EE-F109-DE6D-A4FC-A89F6549176F}"/>
            </a:ext>
          </a:extLst>
        </xdr:cNvPr>
        <xdr:cNvSpPr txBox="1"/>
      </xdr:nvSpPr>
      <xdr:spPr>
        <a:xfrm>
          <a:off x="11315700" y="8126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383</a:t>
          </a:r>
        </a:p>
        <a:p>
          <a:pPr algn="ctr"/>
          <a:r>
            <a:rPr lang="en-US" sz="1100"/>
            <a:t>Feet</a:t>
          </a:r>
        </a:p>
      </xdr:txBody>
    </xdr:sp>
    <xdr:clientData/>
  </xdr:oneCellAnchor>
  <xdr:oneCellAnchor>
    <xdr:from>
      <xdr:col>19</xdr:col>
      <xdr:colOff>190500</xdr:colOff>
      <xdr:row>43</xdr:row>
      <xdr:rowOff>66675</xdr:rowOff>
    </xdr:from>
    <xdr:ext cx="1059649" cy="781240"/>
    <xdr:sp macro="" textlink="">
      <xdr:nvSpPr>
        <xdr:cNvPr id="98" name="TextBox 97">
          <a:extLst>
            <a:ext uri="{FF2B5EF4-FFF2-40B4-BE49-F238E27FC236}">
              <a16:creationId xmlns:a16="http://schemas.microsoft.com/office/drawing/2014/main" id="{94A6B617-5BC4-B6DD-3EAC-CDB33B6BEA68}"/>
            </a:ext>
          </a:extLst>
        </xdr:cNvPr>
        <xdr:cNvSpPr txBox="1"/>
      </xdr:nvSpPr>
      <xdr:spPr>
        <a:xfrm>
          <a:off x="11772900" y="830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1097/@139</a:t>
          </a:r>
        </a:p>
        <a:p>
          <a:pPr algn="l"/>
          <a:r>
            <a:rPr lang="en-US" sz="1100"/>
            <a:t>USBM1X4</a:t>
          </a:r>
        </a:p>
        <a:p>
          <a:pPr algn="l"/>
          <a:r>
            <a:rPr lang="en-US" sz="1100"/>
            <a:t>-10.68dBm In</a:t>
          </a:r>
        </a:p>
        <a:p>
          <a:pPr algn="l"/>
          <a:r>
            <a:rPr lang="en-US" sz="1100"/>
            <a:t>-17.92dBm Out</a:t>
          </a:r>
        </a:p>
      </xdr:txBody>
    </xdr:sp>
    <xdr:clientData/>
  </xdr:oneCellAnchor>
  <xdr:oneCellAnchor>
    <xdr:from>
      <xdr:col>18</xdr:col>
      <xdr:colOff>342900</xdr:colOff>
      <xdr:row>37</xdr:row>
      <xdr:rowOff>77437</xdr:rowOff>
    </xdr:from>
    <xdr:ext cx="529119" cy="344838"/>
    <xdr:sp macro="" textlink="">
      <xdr:nvSpPr>
        <xdr:cNvPr id="95" name="TextBox 94">
          <a:extLst>
            <a:ext uri="{FF2B5EF4-FFF2-40B4-BE49-F238E27FC236}">
              <a16:creationId xmlns:a16="http://schemas.microsoft.com/office/drawing/2014/main" id="{EB20F3C7-3BFF-3B98-DB80-A366FD9F5821}"/>
            </a:ext>
          </a:extLst>
        </xdr:cNvPr>
        <xdr:cNvSpPr txBox="1"/>
      </xdr:nvSpPr>
      <xdr:spPr>
        <a:xfrm>
          <a:off x="11315700" y="717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358</a:t>
          </a:r>
        </a:p>
        <a:p>
          <a:pPr algn="ctr"/>
          <a:r>
            <a:rPr lang="en-US" sz="1100"/>
            <a:t>Feet</a:t>
          </a:r>
        </a:p>
      </xdr:txBody>
    </xdr:sp>
    <xdr:clientData/>
  </xdr:oneCellAnchor>
  <xdr:oneCellAnchor>
    <xdr:from>
      <xdr:col>19</xdr:col>
      <xdr:colOff>190500</xdr:colOff>
      <xdr:row>38</xdr:row>
      <xdr:rowOff>66675</xdr:rowOff>
    </xdr:from>
    <xdr:ext cx="1059649" cy="781240"/>
    <xdr:sp macro="" textlink="">
      <xdr:nvSpPr>
        <xdr:cNvPr id="94" name="TextBox 93">
          <a:extLst>
            <a:ext uri="{FF2B5EF4-FFF2-40B4-BE49-F238E27FC236}">
              <a16:creationId xmlns:a16="http://schemas.microsoft.com/office/drawing/2014/main" id="{0E3F9D1F-C8AF-D4A5-E298-81264331E5A8}"/>
            </a:ext>
          </a:extLst>
        </xdr:cNvPr>
        <xdr:cNvSpPr txBox="1"/>
      </xdr:nvSpPr>
      <xdr:spPr>
        <a:xfrm>
          <a:off x="11772900" y="735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1097/137</a:t>
          </a:r>
        </a:p>
        <a:p>
          <a:pPr algn="l"/>
          <a:r>
            <a:rPr lang="en-US" sz="1100"/>
            <a:t>N/A</a:t>
          </a:r>
        </a:p>
        <a:p>
          <a:pPr algn="l"/>
          <a:r>
            <a:rPr lang="en-US" sz="1100"/>
            <a:t>-10.60dBm In</a:t>
          </a:r>
        </a:p>
        <a:p>
          <a:pPr algn="l"/>
          <a:r>
            <a:rPr lang="en-US" sz="1100"/>
            <a:t>-10.64dBm Out</a:t>
          </a:r>
        </a:p>
      </xdr:txBody>
    </xdr:sp>
    <xdr:clientData/>
  </xdr:oneCellAnchor>
  <xdr:oneCellAnchor>
    <xdr:from>
      <xdr:col>18</xdr:col>
      <xdr:colOff>342900</xdr:colOff>
      <xdr:row>32</xdr:row>
      <xdr:rowOff>77437</xdr:rowOff>
    </xdr:from>
    <xdr:ext cx="529119" cy="344838"/>
    <xdr:sp macro="" textlink="">
      <xdr:nvSpPr>
        <xdr:cNvPr id="89" name="TextBox 88">
          <a:extLst>
            <a:ext uri="{FF2B5EF4-FFF2-40B4-BE49-F238E27FC236}">
              <a16:creationId xmlns:a16="http://schemas.microsoft.com/office/drawing/2014/main" id="{305CF455-D57E-BE38-166F-43C0A6324EB0}"/>
            </a:ext>
          </a:extLst>
        </xdr:cNvPr>
        <xdr:cNvSpPr txBox="1"/>
      </xdr:nvSpPr>
      <xdr:spPr>
        <a:xfrm>
          <a:off x="11315700" y="622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655</a:t>
          </a:r>
        </a:p>
        <a:p>
          <a:pPr algn="ctr"/>
          <a:r>
            <a:rPr lang="en-US" sz="1100"/>
            <a:t>Feet</a:t>
          </a:r>
        </a:p>
      </xdr:txBody>
    </xdr:sp>
    <xdr:clientData/>
  </xdr:oneCellAnchor>
  <xdr:oneCellAnchor>
    <xdr:from>
      <xdr:col>19</xdr:col>
      <xdr:colOff>190500</xdr:colOff>
      <xdr:row>33</xdr:row>
      <xdr:rowOff>66675</xdr:rowOff>
    </xdr:from>
    <xdr:ext cx="1059649" cy="781240"/>
    <xdr:sp macro="" textlink="">
      <xdr:nvSpPr>
        <xdr:cNvPr id="88" name="TextBox 87">
          <a:extLst>
            <a:ext uri="{FF2B5EF4-FFF2-40B4-BE49-F238E27FC236}">
              <a16:creationId xmlns:a16="http://schemas.microsoft.com/office/drawing/2014/main" id="{365813CC-4068-31B7-11B6-88CDB9372EAD}"/>
            </a:ext>
          </a:extLst>
        </xdr:cNvPr>
        <xdr:cNvSpPr txBox="1"/>
      </xdr:nvSpPr>
      <xdr:spPr>
        <a:xfrm>
          <a:off x="11772900" y="640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1097/@135</a:t>
          </a:r>
        </a:p>
        <a:p>
          <a:pPr algn="l"/>
          <a:r>
            <a:rPr lang="en-US" sz="1100"/>
            <a:t>USBM1X8</a:t>
          </a:r>
        </a:p>
        <a:p>
          <a:pPr algn="l"/>
          <a:r>
            <a:rPr lang="en-US" sz="1100"/>
            <a:t>-10.53dBm In</a:t>
          </a:r>
        </a:p>
        <a:p>
          <a:pPr algn="l"/>
          <a:r>
            <a:rPr lang="en-US" sz="1100"/>
            <a:t>-21.17dBm Out</a:t>
          </a:r>
        </a:p>
      </xdr:txBody>
    </xdr:sp>
    <xdr:clientData/>
  </xdr:oneCellAnchor>
  <xdr:oneCellAnchor>
    <xdr:from>
      <xdr:col>18</xdr:col>
      <xdr:colOff>342900</xdr:colOff>
      <xdr:row>27</xdr:row>
      <xdr:rowOff>77437</xdr:rowOff>
    </xdr:from>
    <xdr:ext cx="529119" cy="344838"/>
    <xdr:sp macro="" textlink="">
      <xdr:nvSpPr>
        <xdr:cNvPr id="83" name="TextBox 82">
          <a:extLst>
            <a:ext uri="{FF2B5EF4-FFF2-40B4-BE49-F238E27FC236}">
              <a16:creationId xmlns:a16="http://schemas.microsoft.com/office/drawing/2014/main" id="{9CA6E260-94F0-90A4-5EE7-38964CF42DBC}"/>
            </a:ext>
          </a:extLst>
        </xdr:cNvPr>
        <xdr:cNvSpPr txBox="1"/>
      </xdr:nvSpPr>
      <xdr:spPr>
        <a:xfrm>
          <a:off x="11315700" y="526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354</a:t>
          </a:r>
        </a:p>
        <a:p>
          <a:pPr algn="ctr"/>
          <a:r>
            <a:rPr lang="en-US" sz="1100"/>
            <a:t>Feet</a:t>
          </a:r>
        </a:p>
      </xdr:txBody>
    </xdr:sp>
    <xdr:clientData/>
  </xdr:oneCellAnchor>
  <xdr:oneCellAnchor>
    <xdr:from>
      <xdr:col>19</xdr:col>
      <xdr:colOff>190500</xdr:colOff>
      <xdr:row>28</xdr:row>
      <xdr:rowOff>66675</xdr:rowOff>
    </xdr:from>
    <xdr:ext cx="1059649" cy="781240"/>
    <xdr:sp macro="" textlink="">
      <xdr:nvSpPr>
        <xdr:cNvPr id="82" name="TextBox 81">
          <a:extLst>
            <a:ext uri="{FF2B5EF4-FFF2-40B4-BE49-F238E27FC236}">
              <a16:creationId xmlns:a16="http://schemas.microsoft.com/office/drawing/2014/main" id="{171D726B-601C-B5B5-BFC1-B7519B93E648}"/>
            </a:ext>
          </a:extLst>
        </xdr:cNvPr>
        <xdr:cNvSpPr txBox="1"/>
      </xdr:nvSpPr>
      <xdr:spPr>
        <a:xfrm>
          <a:off x="11772900" y="544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1097/@131</a:t>
          </a:r>
        </a:p>
        <a:p>
          <a:pPr algn="l"/>
          <a:r>
            <a:rPr lang="en-US" sz="1100"/>
            <a:t>USBM1X8</a:t>
          </a:r>
        </a:p>
        <a:p>
          <a:pPr algn="l"/>
          <a:r>
            <a:rPr lang="en-US" sz="1100"/>
            <a:t>-10.43dBm In</a:t>
          </a:r>
        </a:p>
        <a:p>
          <a:pPr algn="l"/>
          <a:r>
            <a:rPr lang="en-US" sz="1100"/>
            <a:t>-21.07dBm Out</a:t>
          </a:r>
        </a:p>
      </xdr:txBody>
    </xdr:sp>
    <xdr:clientData/>
  </xdr:oneCellAnchor>
  <xdr:oneCellAnchor>
    <xdr:from>
      <xdr:col>18</xdr:col>
      <xdr:colOff>342900</xdr:colOff>
      <xdr:row>22</xdr:row>
      <xdr:rowOff>77437</xdr:rowOff>
    </xdr:from>
    <xdr:ext cx="529119" cy="344838"/>
    <xdr:sp macro="" textlink="">
      <xdr:nvSpPr>
        <xdr:cNvPr id="77" name="TextBox 76">
          <a:extLst>
            <a:ext uri="{FF2B5EF4-FFF2-40B4-BE49-F238E27FC236}">
              <a16:creationId xmlns:a16="http://schemas.microsoft.com/office/drawing/2014/main" id="{89EA69D1-3E0F-C23B-E6B1-ABF796C9B5D0}"/>
            </a:ext>
          </a:extLst>
        </xdr:cNvPr>
        <xdr:cNvSpPr txBox="1"/>
      </xdr:nvSpPr>
      <xdr:spPr>
        <a:xfrm>
          <a:off x="11315700" y="4316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336</a:t>
          </a:r>
        </a:p>
        <a:p>
          <a:pPr algn="ctr"/>
          <a:r>
            <a:rPr lang="en-US" sz="1100"/>
            <a:t>Feet</a:t>
          </a:r>
        </a:p>
      </xdr:txBody>
    </xdr:sp>
    <xdr:clientData/>
  </xdr:oneCellAnchor>
  <xdr:oneCellAnchor>
    <xdr:from>
      <xdr:col>19</xdr:col>
      <xdr:colOff>190500</xdr:colOff>
      <xdr:row>23</xdr:row>
      <xdr:rowOff>66675</xdr:rowOff>
    </xdr:from>
    <xdr:ext cx="1059649" cy="781240"/>
    <xdr:sp macro="" textlink="">
      <xdr:nvSpPr>
        <xdr:cNvPr id="76" name="TextBox 75">
          <a:extLst>
            <a:ext uri="{FF2B5EF4-FFF2-40B4-BE49-F238E27FC236}">
              <a16:creationId xmlns:a16="http://schemas.microsoft.com/office/drawing/2014/main" id="{C6A1AA1C-CFCE-53A5-19F7-7BC5E958D841}"/>
            </a:ext>
          </a:extLst>
        </xdr:cNvPr>
        <xdr:cNvSpPr txBox="1"/>
      </xdr:nvSpPr>
      <xdr:spPr>
        <a:xfrm>
          <a:off x="11772900" y="449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1097/@129</a:t>
          </a:r>
        </a:p>
        <a:p>
          <a:pPr algn="l"/>
          <a:r>
            <a:rPr lang="en-US" sz="1100"/>
            <a:t>USBM1X4</a:t>
          </a:r>
        </a:p>
        <a:p>
          <a:pPr algn="l"/>
          <a:r>
            <a:rPr lang="en-US" sz="1100"/>
            <a:t>-10.36dBm In</a:t>
          </a:r>
        </a:p>
        <a:p>
          <a:pPr algn="l"/>
          <a:r>
            <a:rPr lang="en-US" sz="1100"/>
            <a:t>-17.60dBm Out</a:t>
          </a:r>
        </a:p>
      </xdr:txBody>
    </xdr:sp>
    <xdr:clientData/>
  </xdr:oneCellAnchor>
  <xdr:oneCellAnchor>
    <xdr:from>
      <xdr:col>6</xdr:col>
      <xdr:colOff>190500</xdr:colOff>
      <xdr:row>19</xdr:row>
      <xdr:rowOff>28575</xdr:rowOff>
    </xdr:from>
    <xdr:ext cx="697370" cy="264560"/>
    <xdr:sp macro="" textlink="">
      <xdr:nvSpPr>
        <xdr:cNvPr id="73" name="TextBox 72">
          <a:extLst>
            <a:ext uri="{FF2B5EF4-FFF2-40B4-BE49-F238E27FC236}">
              <a16:creationId xmlns:a16="http://schemas.microsoft.com/office/drawing/2014/main" id="{A70CBCA4-DA41-C0A8-1768-A4FADA9FC8BB}"/>
            </a:ext>
          </a:extLst>
        </xdr:cNvPr>
        <xdr:cNvSpPr txBox="1"/>
      </xdr:nvSpPr>
      <xdr:spPr>
        <a:xfrm>
          <a:off x="3848100" y="3695700"/>
          <a:ext cx="697370"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b="1"/>
            <a:t>Branch 1</a:t>
          </a:r>
        </a:p>
      </xdr:txBody>
    </xdr:sp>
    <xdr:clientData/>
  </xdr:oneCellAnchor>
  <xdr:oneCellAnchor>
    <xdr:from>
      <xdr:col>13</xdr:col>
      <xdr:colOff>38100</xdr:colOff>
      <xdr:row>37</xdr:row>
      <xdr:rowOff>43966</xdr:rowOff>
    </xdr:from>
    <xdr:ext cx="529119" cy="378309"/>
    <xdr:sp macro="" textlink="">
      <xdr:nvSpPr>
        <xdr:cNvPr id="69" name="TextBox 68">
          <a:extLst>
            <a:ext uri="{FF2B5EF4-FFF2-40B4-BE49-F238E27FC236}">
              <a16:creationId xmlns:a16="http://schemas.microsoft.com/office/drawing/2014/main" id="{6D8FC36A-3806-F71A-16BD-E7DCA0900F1E}"/>
            </a:ext>
          </a:extLst>
        </xdr:cNvPr>
        <xdr:cNvSpPr txBox="1"/>
      </xdr:nvSpPr>
      <xdr:spPr>
        <a:xfrm>
          <a:off x="7962900" y="7140091"/>
          <a:ext cx="529119" cy="3783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1397</a:t>
          </a:r>
        </a:p>
        <a:p>
          <a:pPr algn="ctr"/>
          <a:r>
            <a:rPr lang="en-US" sz="1100"/>
            <a:t>Feet</a:t>
          </a:r>
        </a:p>
      </xdr:txBody>
    </xdr:sp>
    <xdr:clientData/>
  </xdr:oneCellAnchor>
  <xdr:oneCellAnchor>
    <xdr:from>
      <xdr:col>13</xdr:col>
      <xdr:colOff>495300</xdr:colOff>
      <xdr:row>38</xdr:row>
      <xdr:rowOff>66675</xdr:rowOff>
    </xdr:from>
    <xdr:ext cx="1059649" cy="781240"/>
    <xdr:sp macro="" textlink="">
      <xdr:nvSpPr>
        <xdr:cNvPr id="68" name="TextBox 67">
          <a:extLst>
            <a:ext uri="{FF2B5EF4-FFF2-40B4-BE49-F238E27FC236}">
              <a16:creationId xmlns:a16="http://schemas.microsoft.com/office/drawing/2014/main" id="{FF1057FD-4AF8-411C-16CD-9D79EF772355}"/>
            </a:ext>
          </a:extLst>
        </xdr:cNvPr>
        <xdr:cNvSpPr txBox="1"/>
      </xdr:nvSpPr>
      <xdr:spPr>
        <a:xfrm>
          <a:off x="8420100" y="735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1496/@001</a:t>
          </a:r>
        </a:p>
        <a:p>
          <a:pPr algn="l"/>
          <a:r>
            <a:rPr lang="en-US" sz="1100"/>
            <a:t>USBM1X4</a:t>
          </a:r>
        </a:p>
        <a:p>
          <a:pPr algn="l"/>
          <a:r>
            <a:rPr lang="en-US" sz="1100"/>
            <a:t>-12.17dBm In</a:t>
          </a:r>
        </a:p>
        <a:p>
          <a:pPr algn="l"/>
          <a:r>
            <a:rPr lang="en-US" sz="1100"/>
            <a:t>-19.41dBm Out</a:t>
          </a:r>
        </a:p>
      </xdr:txBody>
    </xdr:sp>
    <xdr:clientData/>
  </xdr:oneCellAnchor>
  <xdr:oneCellAnchor>
    <xdr:from>
      <xdr:col>13</xdr:col>
      <xdr:colOff>38100</xdr:colOff>
      <xdr:row>32</xdr:row>
      <xdr:rowOff>77437</xdr:rowOff>
    </xdr:from>
    <xdr:ext cx="529119" cy="344838"/>
    <xdr:sp macro="" textlink="">
      <xdr:nvSpPr>
        <xdr:cNvPr id="65" name="TextBox 64">
          <a:extLst>
            <a:ext uri="{FF2B5EF4-FFF2-40B4-BE49-F238E27FC236}">
              <a16:creationId xmlns:a16="http://schemas.microsoft.com/office/drawing/2014/main" id="{8D3DC5F1-3D34-E89B-1D9F-0193E7DE6A8B}"/>
            </a:ext>
          </a:extLst>
        </xdr:cNvPr>
        <xdr:cNvSpPr txBox="1"/>
      </xdr:nvSpPr>
      <xdr:spPr>
        <a:xfrm>
          <a:off x="7962900" y="622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828</a:t>
          </a:r>
        </a:p>
        <a:p>
          <a:pPr algn="ctr"/>
          <a:r>
            <a:rPr lang="en-US" sz="1100"/>
            <a:t>Feet</a:t>
          </a:r>
        </a:p>
      </xdr:txBody>
    </xdr:sp>
    <xdr:clientData/>
  </xdr:oneCellAnchor>
  <xdr:oneCellAnchor>
    <xdr:from>
      <xdr:col>13</xdr:col>
      <xdr:colOff>495300</xdr:colOff>
      <xdr:row>33</xdr:row>
      <xdr:rowOff>66675</xdr:rowOff>
    </xdr:from>
    <xdr:ext cx="1059649" cy="781240"/>
    <xdr:sp macro="" textlink="">
      <xdr:nvSpPr>
        <xdr:cNvPr id="64" name="TextBox 63">
          <a:extLst>
            <a:ext uri="{FF2B5EF4-FFF2-40B4-BE49-F238E27FC236}">
              <a16:creationId xmlns:a16="http://schemas.microsoft.com/office/drawing/2014/main" id="{8EB0C0EE-121F-FE52-7FBD-1571BC921833}"/>
            </a:ext>
          </a:extLst>
        </xdr:cNvPr>
        <xdr:cNvSpPr txBox="1"/>
      </xdr:nvSpPr>
      <xdr:spPr>
        <a:xfrm>
          <a:off x="8420100" y="640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1272/004</a:t>
          </a:r>
        </a:p>
        <a:p>
          <a:pPr algn="l"/>
          <a:r>
            <a:rPr lang="en-US" sz="1100"/>
            <a:t>N/A</a:t>
          </a:r>
        </a:p>
        <a:p>
          <a:pPr algn="l"/>
          <a:r>
            <a:rPr lang="en-US" sz="1100"/>
            <a:t>-11.99dBm In</a:t>
          </a:r>
        </a:p>
        <a:p>
          <a:pPr algn="l"/>
          <a:r>
            <a:rPr lang="en-US" sz="1100"/>
            <a:t>-12.02dBm Out</a:t>
          </a:r>
        </a:p>
      </xdr:txBody>
    </xdr:sp>
    <xdr:clientData/>
  </xdr:oneCellAnchor>
  <xdr:oneCellAnchor>
    <xdr:from>
      <xdr:col>13</xdr:col>
      <xdr:colOff>38100</xdr:colOff>
      <xdr:row>27</xdr:row>
      <xdr:rowOff>77437</xdr:rowOff>
    </xdr:from>
    <xdr:ext cx="529119" cy="344838"/>
    <xdr:sp macro="" textlink="">
      <xdr:nvSpPr>
        <xdr:cNvPr id="61" name="TextBox 60">
          <a:extLst>
            <a:ext uri="{FF2B5EF4-FFF2-40B4-BE49-F238E27FC236}">
              <a16:creationId xmlns:a16="http://schemas.microsoft.com/office/drawing/2014/main" id="{4370ED6D-1F3B-1AB0-FCCF-F29D20DFE29D}"/>
            </a:ext>
          </a:extLst>
        </xdr:cNvPr>
        <xdr:cNvSpPr txBox="1"/>
      </xdr:nvSpPr>
      <xdr:spPr>
        <a:xfrm>
          <a:off x="7962900" y="526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643</a:t>
          </a:r>
        </a:p>
        <a:p>
          <a:pPr algn="ctr"/>
          <a:r>
            <a:rPr lang="en-US" sz="1100"/>
            <a:t>Feet</a:t>
          </a:r>
        </a:p>
      </xdr:txBody>
    </xdr:sp>
    <xdr:clientData/>
  </xdr:oneCellAnchor>
  <xdr:oneCellAnchor>
    <xdr:from>
      <xdr:col>13</xdr:col>
      <xdr:colOff>495300</xdr:colOff>
      <xdr:row>28</xdr:row>
      <xdr:rowOff>66675</xdr:rowOff>
    </xdr:from>
    <xdr:ext cx="1059649" cy="781240"/>
    <xdr:sp macro="" textlink="">
      <xdr:nvSpPr>
        <xdr:cNvPr id="60" name="TextBox 59">
          <a:extLst>
            <a:ext uri="{FF2B5EF4-FFF2-40B4-BE49-F238E27FC236}">
              <a16:creationId xmlns:a16="http://schemas.microsoft.com/office/drawing/2014/main" id="{1289AA09-34BA-5A5D-A69F-49FF91262DA1}"/>
            </a:ext>
          </a:extLst>
        </xdr:cNvPr>
        <xdr:cNvSpPr txBox="1"/>
      </xdr:nvSpPr>
      <xdr:spPr>
        <a:xfrm>
          <a:off x="8420100" y="544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1272/301</a:t>
          </a:r>
        </a:p>
        <a:p>
          <a:pPr algn="l"/>
          <a:r>
            <a:rPr lang="en-US" sz="1100"/>
            <a:t>N/A</a:t>
          </a:r>
        </a:p>
        <a:p>
          <a:pPr algn="l"/>
          <a:r>
            <a:rPr lang="en-US" sz="1100"/>
            <a:t>-11.86dBm In</a:t>
          </a:r>
        </a:p>
        <a:p>
          <a:pPr algn="l"/>
          <a:r>
            <a:rPr lang="en-US" sz="1100"/>
            <a:t>-11.90dBm Out</a:t>
          </a:r>
        </a:p>
      </xdr:txBody>
    </xdr:sp>
    <xdr:clientData/>
  </xdr:oneCellAnchor>
  <xdr:oneCellAnchor>
    <xdr:from>
      <xdr:col>6</xdr:col>
      <xdr:colOff>190500</xdr:colOff>
      <xdr:row>24</xdr:row>
      <xdr:rowOff>28575</xdr:rowOff>
    </xdr:from>
    <xdr:ext cx="697370" cy="264560"/>
    <xdr:sp macro="" textlink="">
      <xdr:nvSpPr>
        <xdr:cNvPr id="57" name="TextBox 56">
          <a:extLst>
            <a:ext uri="{FF2B5EF4-FFF2-40B4-BE49-F238E27FC236}">
              <a16:creationId xmlns:a16="http://schemas.microsoft.com/office/drawing/2014/main" id="{F9725969-6DF6-B940-0E7F-E64F1CD79482}"/>
            </a:ext>
          </a:extLst>
        </xdr:cNvPr>
        <xdr:cNvSpPr txBox="1"/>
      </xdr:nvSpPr>
      <xdr:spPr>
        <a:xfrm>
          <a:off x="3848100" y="4648200"/>
          <a:ext cx="697370"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b="1"/>
            <a:t>Branch 3</a:t>
          </a:r>
        </a:p>
      </xdr:txBody>
    </xdr:sp>
    <xdr:clientData/>
  </xdr:oneCellAnchor>
  <xdr:oneCellAnchor>
    <xdr:from>
      <xdr:col>7</xdr:col>
      <xdr:colOff>342900</xdr:colOff>
      <xdr:row>42</xdr:row>
      <xdr:rowOff>77437</xdr:rowOff>
    </xdr:from>
    <xdr:ext cx="529119" cy="344838"/>
    <xdr:sp macro="" textlink="">
      <xdr:nvSpPr>
        <xdr:cNvPr id="53" name="TextBox 52">
          <a:extLst>
            <a:ext uri="{FF2B5EF4-FFF2-40B4-BE49-F238E27FC236}">
              <a16:creationId xmlns:a16="http://schemas.microsoft.com/office/drawing/2014/main" id="{A24D3855-DD43-0944-1539-E36E90C5BBC0}"/>
            </a:ext>
          </a:extLst>
        </xdr:cNvPr>
        <xdr:cNvSpPr txBox="1"/>
      </xdr:nvSpPr>
      <xdr:spPr>
        <a:xfrm>
          <a:off x="4610100" y="8126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489</a:t>
          </a:r>
        </a:p>
        <a:p>
          <a:pPr algn="ctr"/>
          <a:r>
            <a:rPr lang="en-US" sz="1100"/>
            <a:t>Feet</a:t>
          </a:r>
        </a:p>
      </xdr:txBody>
    </xdr:sp>
    <xdr:clientData/>
  </xdr:oneCellAnchor>
  <xdr:oneCellAnchor>
    <xdr:from>
      <xdr:col>8</xdr:col>
      <xdr:colOff>190500</xdr:colOff>
      <xdr:row>43</xdr:row>
      <xdr:rowOff>66675</xdr:rowOff>
    </xdr:from>
    <xdr:ext cx="1059649" cy="781240"/>
    <xdr:sp macro="" textlink="">
      <xdr:nvSpPr>
        <xdr:cNvPr id="52" name="TextBox 51">
          <a:extLst>
            <a:ext uri="{FF2B5EF4-FFF2-40B4-BE49-F238E27FC236}">
              <a16:creationId xmlns:a16="http://schemas.microsoft.com/office/drawing/2014/main" id="{CEEFFD01-2624-1350-0252-1477EAF6ECDA}"/>
            </a:ext>
          </a:extLst>
        </xdr:cNvPr>
        <xdr:cNvSpPr txBox="1"/>
      </xdr:nvSpPr>
      <xdr:spPr>
        <a:xfrm>
          <a:off x="5067300" y="830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1312/@002</a:t>
          </a:r>
        </a:p>
        <a:p>
          <a:pPr algn="l"/>
          <a:r>
            <a:rPr lang="en-US" sz="1100"/>
            <a:t>USBM1X4</a:t>
          </a:r>
        </a:p>
        <a:p>
          <a:pPr algn="l"/>
          <a:r>
            <a:rPr lang="en-US" sz="1100"/>
            <a:t>-12.44dBm In</a:t>
          </a:r>
        </a:p>
        <a:p>
          <a:pPr algn="l"/>
          <a:r>
            <a:rPr lang="en-US" sz="1100"/>
            <a:t>-19.68dBm Out</a:t>
          </a:r>
        </a:p>
      </xdr:txBody>
    </xdr:sp>
    <xdr:clientData/>
  </xdr:oneCellAnchor>
  <xdr:oneCellAnchor>
    <xdr:from>
      <xdr:col>6</xdr:col>
      <xdr:colOff>190500</xdr:colOff>
      <xdr:row>39</xdr:row>
      <xdr:rowOff>28575</xdr:rowOff>
    </xdr:from>
    <xdr:ext cx="697370" cy="264560"/>
    <xdr:sp macro="" textlink="">
      <xdr:nvSpPr>
        <xdr:cNvPr id="49" name="TextBox 48">
          <a:extLst>
            <a:ext uri="{FF2B5EF4-FFF2-40B4-BE49-F238E27FC236}">
              <a16:creationId xmlns:a16="http://schemas.microsoft.com/office/drawing/2014/main" id="{8F1B5533-8161-697D-17E4-4CE5DBE73D3D}"/>
            </a:ext>
          </a:extLst>
        </xdr:cNvPr>
        <xdr:cNvSpPr txBox="1"/>
      </xdr:nvSpPr>
      <xdr:spPr>
        <a:xfrm>
          <a:off x="3848100" y="7505700"/>
          <a:ext cx="697370"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b="1"/>
            <a:t>Branch 4</a:t>
          </a:r>
        </a:p>
      </xdr:txBody>
    </xdr:sp>
    <xdr:clientData/>
  </xdr:oneCellAnchor>
  <xdr:oneCellAnchor>
    <xdr:from>
      <xdr:col>2</xdr:col>
      <xdr:colOff>38100</xdr:colOff>
      <xdr:row>47</xdr:row>
      <xdr:rowOff>77437</xdr:rowOff>
    </xdr:from>
    <xdr:ext cx="529119" cy="344838"/>
    <xdr:sp macro="" textlink="">
      <xdr:nvSpPr>
        <xdr:cNvPr id="45" name="TextBox 44">
          <a:extLst>
            <a:ext uri="{FF2B5EF4-FFF2-40B4-BE49-F238E27FC236}">
              <a16:creationId xmlns:a16="http://schemas.microsoft.com/office/drawing/2014/main" id="{43EED47A-61BC-DD6D-EB45-980AA1C0811C}"/>
            </a:ext>
          </a:extLst>
        </xdr:cNvPr>
        <xdr:cNvSpPr txBox="1"/>
      </xdr:nvSpPr>
      <xdr:spPr>
        <a:xfrm>
          <a:off x="1257300" y="907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609</a:t>
          </a:r>
        </a:p>
        <a:p>
          <a:pPr algn="ctr"/>
          <a:r>
            <a:rPr lang="en-US" sz="1100"/>
            <a:t>Feet</a:t>
          </a:r>
        </a:p>
      </xdr:txBody>
    </xdr:sp>
    <xdr:clientData/>
  </xdr:oneCellAnchor>
  <xdr:oneCellAnchor>
    <xdr:from>
      <xdr:col>2</xdr:col>
      <xdr:colOff>495300</xdr:colOff>
      <xdr:row>48</xdr:row>
      <xdr:rowOff>66675</xdr:rowOff>
    </xdr:from>
    <xdr:ext cx="1059649" cy="781240"/>
    <xdr:sp macro="" textlink="">
      <xdr:nvSpPr>
        <xdr:cNvPr id="44" name="TextBox 43">
          <a:extLst>
            <a:ext uri="{FF2B5EF4-FFF2-40B4-BE49-F238E27FC236}">
              <a16:creationId xmlns:a16="http://schemas.microsoft.com/office/drawing/2014/main" id="{D80A4327-87E5-FE91-F80C-82679CC837F4}"/>
            </a:ext>
          </a:extLst>
        </xdr:cNvPr>
        <xdr:cNvSpPr txBox="1"/>
      </xdr:nvSpPr>
      <xdr:spPr>
        <a:xfrm>
          <a:off x="1714500" y="925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1548/@003</a:t>
          </a:r>
        </a:p>
        <a:p>
          <a:pPr algn="l"/>
          <a:r>
            <a:rPr lang="en-US" sz="1100"/>
            <a:t>USBM1X4</a:t>
          </a:r>
        </a:p>
        <a:p>
          <a:pPr algn="l"/>
          <a:r>
            <a:rPr lang="en-US" sz="1100"/>
            <a:t>-11.35dBm In</a:t>
          </a:r>
        </a:p>
        <a:p>
          <a:pPr algn="l"/>
          <a:r>
            <a:rPr lang="en-US" sz="1100"/>
            <a:t>-18.59dBm Out</a:t>
          </a:r>
        </a:p>
      </xdr:txBody>
    </xdr:sp>
    <xdr:clientData/>
  </xdr:oneCellAnchor>
  <xdr:oneCellAnchor>
    <xdr:from>
      <xdr:col>2</xdr:col>
      <xdr:colOff>38100</xdr:colOff>
      <xdr:row>42</xdr:row>
      <xdr:rowOff>77437</xdr:rowOff>
    </xdr:from>
    <xdr:ext cx="529119" cy="344838"/>
    <xdr:sp macro="" textlink="">
      <xdr:nvSpPr>
        <xdr:cNvPr id="39" name="TextBox 38">
          <a:extLst>
            <a:ext uri="{FF2B5EF4-FFF2-40B4-BE49-F238E27FC236}">
              <a16:creationId xmlns:a16="http://schemas.microsoft.com/office/drawing/2014/main" id="{C1A4E246-AEDC-6C84-2ABA-6A476DE54E52}"/>
            </a:ext>
          </a:extLst>
        </xdr:cNvPr>
        <xdr:cNvSpPr txBox="1"/>
      </xdr:nvSpPr>
      <xdr:spPr>
        <a:xfrm>
          <a:off x="1257300" y="8126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882</a:t>
          </a:r>
        </a:p>
        <a:p>
          <a:pPr algn="ctr"/>
          <a:r>
            <a:rPr lang="en-US" sz="1100"/>
            <a:t>Feet</a:t>
          </a:r>
        </a:p>
      </xdr:txBody>
    </xdr:sp>
    <xdr:clientData/>
  </xdr:oneCellAnchor>
  <xdr:oneCellAnchor>
    <xdr:from>
      <xdr:col>2</xdr:col>
      <xdr:colOff>495300</xdr:colOff>
      <xdr:row>43</xdr:row>
      <xdr:rowOff>66675</xdr:rowOff>
    </xdr:from>
    <xdr:ext cx="1059649" cy="781240"/>
    <xdr:sp macro="" textlink="">
      <xdr:nvSpPr>
        <xdr:cNvPr id="38" name="TextBox 37">
          <a:extLst>
            <a:ext uri="{FF2B5EF4-FFF2-40B4-BE49-F238E27FC236}">
              <a16:creationId xmlns:a16="http://schemas.microsoft.com/office/drawing/2014/main" id="{9B5C8DCF-EAE3-CC19-05AF-9CFDE4199760}"/>
            </a:ext>
          </a:extLst>
        </xdr:cNvPr>
        <xdr:cNvSpPr txBox="1"/>
      </xdr:nvSpPr>
      <xdr:spPr>
        <a:xfrm>
          <a:off x="1714500" y="830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1203/@027</a:t>
          </a:r>
        </a:p>
        <a:p>
          <a:pPr algn="l"/>
          <a:r>
            <a:rPr lang="en-US" sz="1100"/>
            <a:t>USBM1X4</a:t>
          </a:r>
        </a:p>
        <a:p>
          <a:pPr algn="l"/>
          <a:r>
            <a:rPr lang="en-US" sz="1100"/>
            <a:t>-11.26dBm In</a:t>
          </a:r>
        </a:p>
        <a:p>
          <a:pPr algn="l"/>
          <a:r>
            <a:rPr lang="en-US" sz="1100"/>
            <a:t>-18.50dBm Out</a:t>
          </a:r>
        </a:p>
      </xdr:txBody>
    </xdr:sp>
    <xdr:clientData/>
  </xdr:oneCellAnchor>
  <xdr:oneCellAnchor>
    <xdr:from>
      <xdr:col>2</xdr:col>
      <xdr:colOff>38100</xdr:colOff>
      <xdr:row>37</xdr:row>
      <xdr:rowOff>77437</xdr:rowOff>
    </xdr:from>
    <xdr:ext cx="529119" cy="344838"/>
    <xdr:sp macro="" textlink="">
      <xdr:nvSpPr>
        <xdr:cNvPr id="35" name="TextBox 34">
          <a:extLst>
            <a:ext uri="{FF2B5EF4-FFF2-40B4-BE49-F238E27FC236}">
              <a16:creationId xmlns:a16="http://schemas.microsoft.com/office/drawing/2014/main" id="{22029ABE-2A04-36DC-DC65-A18D0382E90F}"/>
            </a:ext>
          </a:extLst>
        </xdr:cNvPr>
        <xdr:cNvSpPr txBox="1"/>
      </xdr:nvSpPr>
      <xdr:spPr>
        <a:xfrm>
          <a:off x="1257300" y="717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956</a:t>
          </a:r>
        </a:p>
        <a:p>
          <a:pPr algn="ctr"/>
          <a:r>
            <a:rPr lang="en-US" sz="1100"/>
            <a:t>Feet</a:t>
          </a:r>
        </a:p>
      </xdr:txBody>
    </xdr:sp>
    <xdr:clientData/>
  </xdr:oneCellAnchor>
  <xdr:oneCellAnchor>
    <xdr:from>
      <xdr:col>2</xdr:col>
      <xdr:colOff>495300</xdr:colOff>
      <xdr:row>38</xdr:row>
      <xdr:rowOff>66675</xdr:rowOff>
    </xdr:from>
    <xdr:ext cx="1059649" cy="781240"/>
    <xdr:sp macro="" textlink="">
      <xdr:nvSpPr>
        <xdr:cNvPr id="34" name="TextBox 33">
          <a:extLst>
            <a:ext uri="{FF2B5EF4-FFF2-40B4-BE49-F238E27FC236}">
              <a16:creationId xmlns:a16="http://schemas.microsoft.com/office/drawing/2014/main" id="{ACDE7024-DB8C-E934-4036-5552845168B0}"/>
            </a:ext>
          </a:extLst>
        </xdr:cNvPr>
        <xdr:cNvSpPr txBox="1"/>
      </xdr:nvSpPr>
      <xdr:spPr>
        <a:xfrm>
          <a:off x="1714500" y="735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1203/024</a:t>
          </a:r>
        </a:p>
        <a:p>
          <a:pPr algn="l"/>
          <a:r>
            <a:rPr lang="en-US" sz="1100"/>
            <a:t>N/A</a:t>
          </a:r>
        </a:p>
        <a:p>
          <a:pPr algn="l"/>
          <a:r>
            <a:rPr lang="en-US" sz="1100"/>
            <a:t>-11.13dBm In</a:t>
          </a:r>
        </a:p>
        <a:p>
          <a:pPr algn="l"/>
          <a:r>
            <a:rPr lang="en-US" sz="1100"/>
            <a:t>-11.17dBm Out</a:t>
          </a:r>
        </a:p>
      </xdr:txBody>
    </xdr:sp>
    <xdr:clientData/>
  </xdr:oneCellAnchor>
  <xdr:oneCellAnchor>
    <xdr:from>
      <xdr:col>2</xdr:col>
      <xdr:colOff>38100</xdr:colOff>
      <xdr:row>32</xdr:row>
      <xdr:rowOff>77437</xdr:rowOff>
    </xdr:from>
    <xdr:ext cx="529119" cy="344838"/>
    <xdr:sp macro="" textlink="">
      <xdr:nvSpPr>
        <xdr:cNvPr id="29" name="TextBox 28">
          <a:extLst>
            <a:ext uri="{FF2B5EF4-FFF2-40B4-BE49-F238E27FC236}">
              <a16:creationId xmlns:a16="http://schemas.microsoft.com/office/drawing/2014/main" id="{3DE38408-F323-1348-BC24-D974E7E5CB69}"/>
            </a:ext>
          </a:extLst>
        </xdr:cNvPr>
        <xdr:cNvSpPr txBox="1"/>
      </xdr:nvSpPr>
      <xdr:spPr>
        <a:xfrm>
          <a:off x="1257300" y="622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443</a:t>
          </a:r>
        </a:p>
        <a:p>
          <a:pPr algn="ctr"/>
          <a:r>
            <a:rPr lang="en-US" sz="1100"/>
            <a:t>Feet</a:t>
          </a:r>
        </a:p>
      </xdr:txBody>
    </xdr:sp>
    <xdr:clientData/>
  </xdr:oneCellAnchor>
  <xdr:oneCellAnchor>
    <xdr:from>
      <xdr:col>2</xdr:col>
      <xdr:colOff>495300</xdr:colOff>
      <xdr:row>33</xdr:row>
      <xdr:rowOff>66675</xdr:rowOff>
    </xdr:from>
    <xdr:ext cx="1059649" cy="781240"/>
    <xdr:sp macro="" textlink="">
      <xdr:nvSpPr>
        <xdr:cNvPr id="28" name="TextBox 27">
          <a:extLst>
            <a:ext uri="{FF2B5EF4-FFF2-40B4-BE49-F238E27FC236}">
              <a16:creationId xmlns:a16="http://schemas.microsoft.com/office/drawing/2014/main" id="{204E8633-D10A-BEA2-6F72-2FAE837633CD}"/>
            </a:ext>
          </a:extLst>
        </xdr:cNvPr>
        <xdr:cNvSpPr txBox="1"/>
      </xdr:nvSpPr>
      <xdr:spPr>
        <a:xfrm>
          <a:off x="1714500" y="640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1203/@021</a:t>
          </a:r>
        </a:p>
        <a:p>
          <a:pPr algn="l"/>
          <a:r>
            <a:rPr lang="en-US" sz="1100"/>
            <a:t>USBM1X8</a:t>
          </a:r>
        </a:p>
        <a:p>
          <a:pPr algn="l"/>
          <a:r>
            <a:rPr lang="en-US" sz="1100"/>
            <a:t>-11.00dBm In</a:t>
          </a:r>
        </a:p>
        <a:p>
          <a:pPr algn="l"/>
          <a:r>
            <a:rPr lang="en-US" sz="1100"/>
            <a:t>-21.64dBm Out</a:t>
          </a:r>
        </a:p>
      </xdr:txBody>
    </xdr:sp>
    <xdr:clientData/>
  </xdr:oneCellAnchor>
  <xdr:oneCellAnchor>
    <xdr:from>
      <xdr:col>2</xdr:col>
      <xdr:colOff>38100</xdr:colOff>
      <xdr:row>27</xdr:row>
      <xdr:rowOff>77437</xdr:rowOff>
    </xdr:from>
    <xdr:ext cx="529119" cy="344838"/>
    <xdr:sp macro="" textlink="">
      <xdr:nvSpPr>
        <xdr:cNvPr id="23" name="TextBox 22">
          <a:extLst>
            <a:ext uri="{FF2B5EF4-FFF2-40B4-BE49-F238E27FC236}">
              <a16:creationId xmlns:a16="http://schemas.microsoft.com/office/drawing/2014/main" id="{535DB098-21F5-DC73-B63D-267606D00AC4}"/>
            </a:ext>
          </a:extLst>
        </xdr:cNvPr>
        <xdr:cNvSpPr txBox="1"/>
      </xdr:nvSpPr>
      <xdr:spPr>
        <a:xfrm>
          <a:off x="1257300" y="526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441</a:t>
          </a:r>
        </a:p>
        <a:p>
          <a:pPr algn="ctr"/>
          <a:r>
            <a:rPr lang="en-US" sz="1100"/>
            <a:t>Feet</a:t>
          </a:r>
        </a:p>
      </xdr:txBody>
    </xdr:sp>
    <xdr:clientData/>
  </xdr:oneCellAnchor>
  <xdr:oneCellAnchor>
    <xdr:from>
      <xdr:col>2</xdr:col>
      <xdr:colOff>495300</xdr:colOff>
      <xdr:row>28</xdr:row>
      <xdr:rowOff>66675</xdr:rowOff>
    </xdr:from>
    <xdr:ext cx="1059649" cy="781240"/>
    <xdr:sp macro="" textlink="">
      <xdr:nvSpPr>
        <xdr:cNvPr id="22" name="TextBox 21">
          <a:extLst>
            <a:ext uri="{FF2B5EF4-FFF2-40B4-BE49-F238E27FC236}">
              <a16:creationId xmlns:a16="http://schemas.microsoft.com/office/drawing/2014/main" id="{4D585676-EC48-484B-41EC-DB2B2FF86CC4}"/>
            </a:ext>
          </a:extLst>
        </xdr:cNvPr>
        <xdr:cNvSpPr txBox="1"/>
      </xdr:nvSpPr>
      <xdr:spPr>
        <a:xfrm>
          <a:off x="1714500" y="544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1203/@020</a:t>
          </a:r>
        </a:p>
        <a:p>
          <a:pPr algn="l"/>
          <a:r>
            <a:rPr lang="en-US" sz="1100"/>
            <a:t>USBM1X4</a:t>
          </a:r>
        </a:p>
        <a:p>
          <a:pPr algn="l"/>
          <a:r>
            <a:rPr lang="en-US" sz="1100"/>
            <a:t>-10.92dBm In</a:t>
          </a:r>
        </a:p>
        <a:p>
          <a:pPr algn="l"/>
          <a:r>
            <a:rPr lang="en-US" sz="1100"/>
            <a:t>-18.16dBm Out</a:t>
          </a:r>
        </a:p>
      </xdr:txBody>
    </xdr:sp>
    <xdr:clientData/>
  </xdr:oneCellAnchor>
  <xdr:oneCellAnchor>
    <xdr:from>
      <xdr:col>2</xdr:col>
      <xdr:colOff>38100</xdr:colOff>
      <xdr:row>22</xdr:row>
      <xdr:rowOff>43966</xdr:rowOff>
    </xdr:from>
    <xdr:ext cx="529119" cy="378309"/>
    <xdr:sp macro="" textlink="">
      <xdr:nvSpPr>
        <xdr:cNvPr id="19" name="TextBox 18">
          <a:extLst>
            <a:ext uri="{FF2B5EF4-FFF2-40B4-BE49-F238E27FC236}">
              <a16:creationId xmlns:a16="http://schemas.microsoft.com/office/drawing/2014/main" id="{3DCDCDB4-9CEC-968D-C061-833A6579B55E}"/>
            </a:ext>
          </a:extLst>
        </xdr:cNvPr>
        <xdr:cNvSpPr txBox="1"/>
      </xdr:nvSpPr>
      <xdr:spPr>
        <a:xfrm>
          <a:off x="1257300" y="4282591"/>
          <a:ext cx="529119" cy="3783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6785</a:t>
          </a:r>
        </a:p>
        <a:p>
          <a:pPr algn="ctr"/>
          <a:r>
            <a:rPr lang="en-US" sz="1100"/>
            <a:t>Feet</a:t>
          </a:r>
        </a:p>
      </xdr:txBody>
    </xdr:sp>
    <xdr:clientData/>
  </xdr:oneCellAnchor>
  <xdr:oneCellAnchor>
    <xdr:from>
      <xdr:col>2</xdr:col>
      <xdr:colOff>495300</xdr:colOff>
      <xdr:row>23</xdr:row>
      <xdr:rowOff>66675</xdr:rowOff>
    </xdr:from>
    <xdr:ext cx="1059649" cy="781240"/>
    <xdr:sp macro="" textlink="">
      <xdr:nvSpPr>
        <xdr:cNvPr id="18" name="TextBox 17">
          <a:extLst>
            <a:ext uri="{FF2B5EF4-FFF2-40B4-BE49-F238E27FC236}">
              <a16:creationId xmlns:a16="http://schemas.microsoft.com/office/drawing/2014/main" id="{07A30BC8-58C7-0128-FEC6-EB03505741D6}"/>
            </a:ext>
          </a:extLst>
        </xdr:cNvPr>
        <xdr:cNvSpPr txBox="1"/>
      </xdr:nvSpPr>
      <xdr:spPr>
        <a:xfrm>
          <a:off x="1714500" y="449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1203/019</a:t>
          </a:r>
        </a:p>
        <a:p>
          <a:pPr algn="l"/>
          <a:r>
            <a:rPr lang="en-US" sz="1100"/>
            <a:t>N/A</a:t>
          </a:r>
        </a:p>
        <a:p>
          <a:pPr algn="l"/>
          <a:r>
            <a:rPr lang="en-US" sz="1100"/>
            <a:t>-10.83dBm In</a:t>
          </a:r>
        </a:p>
        <a:p>
          <a:pPr algn="l"/>
          <a:r>
            <a:rPr lang="en-US" sz="1100"/>
            <a:t>-10.87dBm Out</a:t>
          </a:r>
        </a:p>
      </xdr:txBody>
    </xdr:sp>
    <xdr:clientData/>
  </xdr:oneCellAnchor>
  <xdr:oneCellAnchor>
    <xdr:from>
      <xdr:col>2</xdr:col>
      <xdr:colOff>38100</xdr:colOff>
      <xdr:row>17</xdr:row>
      <xdr:rowOff>77437</xdr:rowOff>
    </xdr:from>
    <xdr:ext cx="529119" cy="344838"/>
    <xdr:sp macro="" textlink="">
      <xdr:nvSpPr>
        <xdr:cNvPr id="15" name="TextBox 14">
          <a:extLst>
            <a:ext uri="{FF2B5EF4-FFF2-40B4-BE49-F238E27FC236}">
              <a16:creationId xmlns:a16="http://schemas.microsoft.com/office/drawing/2014/main" id="{D5EC57BB-4E9F-B4C7-6507-A01446FC5D87}"/>
            </a:ext>
          </a:extLst>
        </xdr:cNvPr>
        <xdr:cNvSpPr txBox="1"/>
      </xdr:nvSpPr>
      <xdr:spPr>
        <a:xfrm>
          <a:off x="1257300" y="336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706</a:t>
          </a:r>
        </a:p>
        <a:p>
          <a:pPr algn="ctr"/>
          <a:r>
            <a:rPr lang="en-US" sz="1100"/>
            <a:t>Feet</a:t>
          </a:r>
        </a:p>
      </xdr:txBody>
    </xdr:sp>
    <xdr:clientData/>
  </xdr:oneCellAnchor>
  <xdr:oneCellAnchor>
    <xdr:from>
      <xdr:col>2</xdr:col>
      <xdr:colOff>495300</xdr:colOff>
      <xdr:row>18</xdr:row>
      <xdr:rowOff>66675</xdr:rowOff>
    </xdr:from>
    <xdr:ext cx="1059649" cy="781240"/>
    <xdr:sp macro="" textlink="">
      <xdr:nvSpPr>
        <xdr:cNvPr id="14" name="TextBox 13">
          <a:extLst>
            <a:ext uri="{FF2B5EF4-FFF2-40B4-BE49-F238E27FC236}">
              <a16:creationId xmlns:a16="http://schemas.microsoft.com/office/drawing/2014/main" id="{3A8D1E32-2F20-E9FD-A325-B817E7484374}"/>
            </a:ext>
          </a:extLst>
        </xdr:cNvPr>
        <xdr:cNvSpPr txBox="1"/>
      </xdr:nvSpPr>
      <xdr:spPr>
        <a:xfrm>
          <a:off x="1714500" y="354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1097/628</a:t>
          </a:r>
        </a:p>
        <a:p>
          <a:pPr algn="l"/>
          <a:r>
            <a:rPr lang="en-US" sz="1100"/>
            <a:t>N/A</a:t>
          </a:r>
        </a:p>
        <a:p>
          <a:pPr algn="l"/>
          <a:r>
            <a:rPr lang="en-US" sz="1100"/>
            <a:t>-10.10dBm In</a:t>
          </a:r>
        </a:p>
        <a:p>
          <a:pPr algn="l"/>
          <a:r>
            <a:rPr lang="en-US" sz="1100"/>
            <a:t>-10.13dBm Out</a:t>
          </a:r>
        </a:p>
      </xdr:txBody>
    </xdr:sp>
    <xdr:clientData/>
  </xdr:oneCellAnchor>
  <xdr:oneCellAnchor>
    <xdr:from>
      <xdr:col>2</xdr:col>
      <xdr:colOff>38100</xdr:colOff>
      <xdr:row>12</xdr:row>
      <xdr:rowOff>77437</xdr:rowOff>
    </xdr:from>
    <xdr:ext cx="529119" cy="344838"/>
    <xdr:sp macro="" textlink="">
      <xdr:nvSpPr>
        <xdr:cNvPr id="11" name="TextBox 10">
          <a:extLst>
            <a:ext uri="{FF2B5EF4-FFF2-40B4-BE49-F238E27FC236}">
              <a16:creationId xmlns:a16="http://schemas.microsoft.com/office/drawing/2014/main" id="{A5859D96-CF32-795F-42F9-166A825FD512}"/>
            </a:ext>
          </a:extLst>
        </xdr:cNvPr>
        <xdr:cNvSpPr txBox="1"/>
      </xdr:nvSpPr>
      <xdr:spPr>
        <a:xfrm>
          <a:off x="1257300" y="241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120</a:t>
          </a:r>
        </a:p>
        <a:p>
          <a:pPr algn="ctr"/>
          <a:r>
            <a:rPr lang="en-US" sz="1100"/>
            <a:t>Feet</a:t>
          </a:r>
        </a:p>
      </xdr:txBody>
    </xdr:sp>
    <xdr:clientData/>
  </xdr:oneCellAnchor>
  <xdr:oneCellAnchor>
    <xdr:from>
      <xdr:col>2</xdr:col>
      <xdr:colOff>495300</xdr:colOff>
      <xdr:row>13</xdr:row>
      <xdr:rowOff>66675</xdr:rowOff>
    </xdr:from>
    <xdr:ext cx="1059649" cy="781240"/>
    <xdr:sp macro="" textlink="">
      <xdr:nvSpPr>
        <xdr:cNvPr id="10" name="TextBox 9">
          <a:extLst>
            <a:ext uri="{FF2B5EF4-FFF2-40B4-BE49-F238E27FC236}">
              <a16:creationId xmlns:a16="http://schemas.microsoft.com/office/drawing/2014/main" id="{E0299776-4794-B01D-CF86-1D5673F9FDB0}"/>
            </a:ext>
          </a:extLst>
        </xdr:cNvPr>
        <xdr:cNvSpPr txBox="1"/>
      </xdr:nvSpPr>
      <xdr:spPr>
        <a:xfrm>
          <a:off x="1714500" y="259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1097/124</a:t>
          </a:r>
        </a:p>
        <a:p>
          <a:pPr algn="l"/>
          <a:r>
            <a:rPr lang="en-US" sz="1100"/>
            <a:t>N/A</a:t>
          </a:r>
        </a:p>
        <a:p>
          <a:pPr algn="l"/>
          <a:r>
            <a:rPr lang="en-US" sz="1100"/>
            <a:t>-9.99dBm In</a:t>
          </a:r>
        </a:p>
        <a:p>
          <a:pPr algn="l"/>
          <a:r>
            <a:rPr lang="en-US" sz="1100"/>
            <a:t>-10.02dBm Out</a:t>
          </a:r>
        </a:p>
      </xdr:txBody>
    </xdr:sp>
    <xdr:clientData/>
  </xdr:oneCellAnchor>
  <xdr:oneCellAnchor>
    <xdr:from>
      <xdr:col>2</xdr:col>
      <xdr:colOff>38100</xdr:colOff>
      <xdr:row>6</xdr:row>
      <xdr:rowOff>166337</xdr:rowOff>
    </xdr:from>
    <xdr:ext cx="529119" cy="344838"/>
    <xdr:sp macro="" textlink="">
      <xdr:nvSpPr>
        <xdr:cNvPr id="6" name="TextBox 5">
          <a:extLst>
            <a:ext uri="{FF2B5EF4-FFF2-40B4-BE49-F238E27FC236}">
              <a16:creationId xmlns:a16="http://schemas.microsoft.com/office/drawing/2014/main" id="{75AB6C13-F78D-C50A-6A49-536A74CEFB89}"/>
            </a:ext>
          </a:extLst>
        </xdr:cNvPr>
        <xdr:cNvSpPr txBox="1"/>
      </xdr:nvSpPr>
      <xdr:spPr>
        <a:xfrm>
          <a:off x="1257300" y="13569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200</a:t>
          </a:r>
        </a:p>
        <a:p>
          <a:pPr algn="ctr"/>
          <a:r>
            <a:rPr lang="en-US" sz="1100"/>
            <a:t>Feet</a:t>
          </a:r>
        </a:p>
      </xdr:txBody>
    </xdr:sp>
    <xdr:clientData/>
  </xdr:oneCellAnchor>
  <xdr:twoCellAnchor>
    <xdr:from>
      <xdr:col>2</xdr:col>
      <xdr:colOff>0</xdr:colOff>
      <xdr:row>3</xdr:row>
      <xdr:rowOff>79375</xdr:rowOff>
    </xdr:from>
    <xdr:to>
      <xdr:col>3</xdr:col>
      <xdr:colOff>0</xdr:colOff>
      <xdr:row>6</xdr:row>
      <xdr:rowOff>15875</xdr:rowOff>
    </xdr:to>
    <xdr:sp macro="" textlink="">
      <xdr:nvSpPr>
        <xdr:cNvPr id="2" name="sym_OLT">
          <a:extLst>
            <a:ext uri="{FF2B5EF4-FFF2-40B4-BE49-F238E27FC236}">
              <a16:creationId xmlns:a16="http://schemas.microsoft.com/office/drawing/2014/main" id="{0F3B401B-468F-C61A-88CB-65FC0ED36A55}"/>
            </a:ext>
          </a:extLst>
        </xdr:cNvPr>
        <xdr:cNvSpPr/>
      </xdr:nvSpPr>
      <xdr:spPr>
        <a:xfrm>
          <a:off x="1219200" y="698500"/>
          <a:ext cx="609600" cy="508000"/>
        </a:xfrm>
        <a:prstGeom prst="hex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OLT</a:t>
          </a:r>
        </a:p>
        <a:p>
          <a:pPr algn="ctr"/>
          <a:r>
            <a:rPr lang="en-US" sz="1100"/>
            <a:t>Port</a:t>
          </a:r>
        </a:p>
      </xdr:txBody>
    </xdr:sp>
    <xdr:clientData/>
  </xdr:twoCellAnchor>
  <xdr:oneCellAnchor>
    <xdr:from>
      <xdr:col>1</xdr:col>
      <xdr:colOff>279400</xdr:colOff>
      <xdr:row>1</xdr:row>
      <xdr:rowOff>142875</xdr:rowOff>
    </xdr:from>
    <xdr:ext cx="1378454" cy="264560"/>
    <xdr:sp macro="" textlink="">
      <xdr:nvSpPr>
        <xdr:cNvPr id="3" name="txt_OLT">
          <a:extLst>
            <a:ext uri="{FF2B5EF4-FFF2-40B4-BE49-F238E27FC236}">
              <a16:creationId xmlns:a16="http://schemas.microsoft.com/office/drawing/2014/main" id="{F4163682-8A58-F3CC-74B2-F697FDA2B306}"/>
            </a:ext>
          </a:extLst>
        </xdr:cNvPr>
        <xdr:cNvSpPr txBox="1"/>
      </xdr:nvSpPr>
      <xdr:spPr>
        <a:xfrm>
          <a:off x="889000" y="381000"/>
          <a:ext cx="1378454"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ctr"/>
          <a:r>
            <a:rPr lang="en-US" sz="1100"/>
            <a:t>Output Power = 3.25</a:t>
          </a:r>
        </a:p>
      </xdr:txBody>
    </xdr:sp>
    <xdr:clientData/>
  </xdr:oneCellAnchor>
  <xdr:twoCellAnchor>
    <xdr:from>
      <xdr:col>1</xdr:col>
      <xdr:colOff>304800</xdr:colOff>
      <xdr:row>9</xdr:row>
      <xdr:rowOff>3175</xdr:rowOff>
    </xdr:from>
    <xdr:to>
      <xdr:col>3</xdr:col>
      <xdr:colOff>304800</xdr:colOff>
      <xdr:row>11</xdr:row>
      <xdr:rowOff>130175</xdr:rowOff>
    </xdr:to>
    <xdr:sp macro="" textlink="">
      <xdr:nvSpPr>
        <xdr:cNvPr id="4" name="sym_LS">
          <a:extLst>
            <a:ext uri="{FF2B5EF4-FFF2-40B4-BE49-F238E27FC236}">
              <a16:creationId xmlns:a16="http://schemas.microsoft.com/office/drawing/2014/main" id="{088131A8-2361-DD7B-C1BC-25F02FE329F8}"/>
            </a:ext>
          </a:extLst>
        </xdr:cNvPr>
        <xdr:cNvSpPr/>
      </xdr:nvSpPr>
      <xdr:spPr>
        <a:xfrm>
          <a:off x="914400" y="1765300"/>
          <a:ext cx="1219200" cy="508000"/>
        </a:xfrm>
        <a:prstGeom prst="su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1x16</a:t>
          </a:r>
        </a:p>
      </xdr:txBody>
    </xdr:sp>
    <xdr:clientData/>
  </xdr:twoCellAnchor>
  <xdr:twoCellAnchor>
    <xdr:from>
      <xdr:col>2</xdr:col>
      <xdr:colOff>304800</xdr:colOff>
      <xdr:row>6</xdr:row>
      <xdr:rowOff>15875</xdr:rowOff>
    </xdr:from>
    <xdr:to>
      <xdr:col>2</xdr:col>
      <xdr:colOff>304800</xdr:colOff>
      <xdr:row>9</xdr:row>
      <xdr:rowOff>15875</xdr:rowOff>
    </xdr:to>
    <xdr:cxnSp macro="">
      <xdr:nvCxnSpPr>
        <xdr:cNvPr id="5" name="lin_Splitter 2_Feeder">
          <a:extLst>
            <a:ext uri="{FF2B5EF4-FFF2-40B4-BE49-F238E27FC236}">
              <a16:creationId xmlns:a16="http://schemas.microsoft.com/office/drawing/2014/main" id="{A0989DCE-8DA1-643E-F00A-2342496E8214}"/>
            </a:ext>
          </a:extLst>
        </xdr:cNvPr>
        <xdr:cNvCxnSpPr/>
      </xdr:nvCxnSpPr>
      <xdr:spPr>
        <a:xfrm>
          <a:off x="1524000" y="12065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304800</xdr:colOff>
      <xdr:row>9</xdr:row>
      <xdr:rowOff>130175</xdr:rowOff>
    </xdr:from>
    <xdr:ext cx="988156" cy="264560"/>
    <xdr:sp macro="" textlink="">
      <xdr:nvSpPr>
        <xdr:cNvPr id="7" name="txt_LS">
          <a:extLst>
            <a:ext uri="{FF2B5EF4-FFF2-40B4-BE49-F238E27FC236}">
              <a16:creationId xmlns:a16="http://schemas.microsoft.com/office/drawing/2014/main" id="{A47F7828-6767-30B2-70DA-43990BB49489}"/>
            </a:ext>
          </a:extLst>
        </xdr:cNvPr>
        <xdr:cNvSpPr txBox="1"/>
      </xdr:nvSpPr>
      <xdr:spPr>
        <a:xfrm>
          <a:off x="2133600" y="1892300"/>
          <a:ext cx="988156"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ctr"/>
          <a:r>
            <a:rPr lang="en-US" sz="1100"/>
            <a:t>-9.94dBm Out</a:t>
          </a:r>
        </a:p>
      </xdr:txBody>
    </xdr:sp>
    <xdr:clientData/>
  </xdr:oneCellAnchor>
  <xdr:twoCellAnchor>
    <xdr:from>
      <xdr:col>2</xdr:col>
      <xdr:colOff>114300</xdr:colOff>
      <xdr:row>14</xdr:row>
      <xdr:rowOff>66675</xdr:rowOff>
    </xdr:from>
    <xdr:to>
      <xdr:col>2</xdr:col>
      <xdr:colOff>495300</xdr:colOff>
      <xdr:row>16</xdr:row>
      <xdr:rowOff>66675</xdr:rowOff>
    </xdr:to>
    <xdr:sp macro="" textlink="">
      <xdr:nvSpPr>
        <xdr:cNvPr id="8" name="sym_Splitter 2_8" descr="Splitter 1~22">
          <a:extLst>
            <a:ext uri="{FF2B5EF4-FFF2-40B4-BE49-F238E27FC236}">
              <a16:creationId xmlns:a16="http://schemas.microsoft.com/office/drawing/2014/main" id="{9A86EB14-CF28-BE26-50C6-A1B5D92B8341}"/>
            </a:ext>
          </a:extLst>
        </xdr:cNvPr>
        <xdr:cNvSpPr/>
      </xdr:nvSpPr>
      <xdr:spPr>
        <a:xfrm>
          <a:off x="1333500" y="278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2</xdr:col>
      <xdr:colOff>304800</xdr:colOff>
      <xdr:row>11</xdr:row>
      <xdr:rowOff>130175</xdr:rowOff>
    </xdr:from>
    <xdr:to>
      <xdr:col>2</xdr:col>
      <xdr:colOff>304800</xdr:colOff>
      <xdr:row>14</xdr:row>
      <xdr:rowOff>130175</xdr:rowOff>
    </xdr:to>
    <xdr:cxnSp macro="">
      <xdr:nvCxnSpPr>
        <xdr:cNvPr id="9" name="lin_Splitter 2_8">
          <a:extLst>
            <a:ext uri="{FF2B5EF4-FFF2-40B4-BE49-F238E27FC236}">
              <a16:creationId xmlns:a16="http://schemas.microsoft.com/office/drawing/2014/main" id="{C98F9445-3D00-7586-3D25-0001978AFAC6}"/>
            </a:ext>
          </a:extLst>
        </xdr:cNvPr>
        <xdr:cNvCxnSpPr/>
      </xdr:nvCxnSpPr>
      <xdr:spPr>
        <a:xfrm>
          <a:off x="1524000" y="2273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19</xdr:row>
      <xdr:rowOff>66675</xdr:rowOff>
    </xdr:from>
    <xdr:to>
      <xdr:col>2</xdr:col>
      <xdr:colOff>495300</xdr:colOff>
      <xdr:row>21</xdr:row>
      <xdr:rowOff>66675</xdr:rowOff>
    </xdr:to>
    <xdr:sp macro="" textlink="">
      <xdr:nvSpPr>
        <xdr:cNvPr id="12" name="sym_Splitter 2_9">
          <a:extLst>
            <a:ext uri="{FF2B5EF4-FFF2-40B4-BE49-F238E27FC236}">
              <a16:creationId xmlns:a16="http://schemas.microsoft.com/office/drawing/2014/main" id="{EAFF01C3-38B0-2EA0-8E52-65CE9664D6A4}"/>
            </a:ext>
          </a:extLst>
        </xdr:cNvPr>
        <xdr:cNvSpPr/>
      </xdr:nvSpPr>
      <xdr:spPr>
        <a:xfrm>
          <a:off x="1333500" y="373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2</a:t>
          </a:r>
        </a:p>
      </xdr:txBody>
    </xdr:sp>
    <xdr:clientData/>
  </xdr:twoCellAnchor>
  <xdr:twoCellAnchor>
    <xdr:from>
      <xdr:col>2</xdr:col>
      <xdr:colOff>304800</xdr:colOff>
      <xdr:row>16</xdr:row>
      <xdr:rowOff>66675</xdr:rowOff>
    </xdr:from>
    <xdr:to>
      <xdr:col>2</xdr:col>
      <xdr:colOff>304800</xdr:colOff>
      <xdr:row>19</xdr:row>
      <xdr:rowOff>66675</xdr:rowOff>
    </xdr:to>
    <xdr:cxnSp macro="">
      <xdr:nvCxnSpPr>
        <xdr:cNvPr id="13" name="lin_Splitter 2_9">
          <a:extLst>
            <a:ext uri="{FF2B5EF4-FFF2-40B4-BE49-F238E27FC236}">
              <a16:creationId xmlns:a16="http://schemas.microsoft.com/office/drawing/2014/main" id="{1A9ADECC-449A-62EE-0AE1-C5DD50DF71E1}"/>
            </a:ext>
          </a:extLst>
        </xdr:cNvPr>
        <xdr:cNvCxnSpPr/>
      </xdr:nvCxnSpPr>
      <xdr:spPr>
        <a:xfrm>
          <a:off x="1524000" y="316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24</xdr:row>
      <xdr:rowOff>66675</xdr:rowOff>
    </xdr:from>
    <xdr:to>
      <xdr:col>2</xdr:col>
      <xdr:colOff>495300</xdr:colOff>
      <xdr:row>26</xdr:row>
      <xdr:rowOff>66675</xdr:rowOff>
    </xdr:to>
    <xdr:sp macro="" textlink="">
      <xdr:nvSpPr>
        <xdr:cNvPr id="16" name="sym_Splitter 2_10">
          <a:extLst>
            <a:ext uri="{FF2B5EF4-FFF2-40B4-BE49-F238E27FC236}">
              <a16:creationId xmlns:a16="http://schemas.microsoft.com/office/drawing/2014/main" id="{DAD3E640-13F3-696A-F434-A8930461B858}"/>
            </a:ext>
          </a:extLst>
        </xdr:cNvPr>
        <xdr:cNvSpPr/>
      </xdr:nvSpPr>
      <xdr:spPr>
        <a:xfrm>
          <a:off x="1333500" y="468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3</a:t>
          </a:r>
        </a:p>
      </xdr:txBody>
    </xdr:sp>
    <xdr:clientData/>
  </xdr:twoCellAnchor>
  <xdr:twoCellAnchor>
    <xdr:from>
      <xdr:col>2</xdr:col>
      <xdr:colOff>304800</xdr:colOff>
      <xdr:row>21</xdr:row>
      <xdr:rowOff>66675</xdr:rowOff>
    </xdr:from>
    <xdr:to>
      <xdr:col>2</xdr:col>
      <xdr:colOff>304800</xdr:colOff>
      <xdr:row>24</xdr:row>
      <xdr:rowOff>66675</xdr:rowOff>
    </xdr:to>
    <xdr:cxnSp macro="">
      <xdr:nvCxnSpPr>
        <xdr:cNvPr id="17" name="lin_Splitter 2_10">
          <a:extLst>
            <a:ext uri="{FF2B5EF4-FFF2-40B4-BE49-F238E27FC236}">
              <a16:creationId xmlns:a16="http://schemas.microsoft.com/office/drawing/2014/main" id="{6AB7D38A-C8C3-67BA-8E89-62D03EB0D427}"/>
            </a:ext>
          </a:extLst>
        </xdr:cNvPr>
        <xdr:cNvCxnSpPr/>
      </xdr:nvCxnSpPr>
      <xdr:spPr>
        <a:xfrm>
          <a:off x="1524000" y="4114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29</xdr:row>
      <xdr:rowOff>66675</xdr:rowOff>
    </xdr:from>
    <xdr:to>
      <xdr:col>2</xdr:col>
      <xdr:colOff>495300</xdr:colOff>
      <xdr:row>31</xdr:row>
      <xdr:rowOff>66675</xdr:rowOff>
    </xdr:to>
    <xdr:sp macro="" textlink="">
      <xdr:nvSpPr>
        <xdr:cNvPr id="20" name="sym_Splitter 2_11">
          <a:extLst>
            <a:ext uri="{FF2B5EF4-FFF2-40B4-BE49-F238E27FC236}">
              <a16:creationId xmlns:a16="http://schemas.microsoft.com/office/drawing/2014/main" id="{F236B2EE-E8B7-18EE-9A90-906AD990E348}"/>
            </a:ext>
          </a:extLst>
        </xdr:cNvPr>
        <xdr:cNvSpPr/>
      </xdr:nvSpPr>
      <xdr:spPr>
        <a:xfrm>
          <a:off x="1333500" y="563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4</a:t>
          </a:r>
        </a:p>
      </xdr:txBody>
    </xdr:sp>
    <xdr:clientData/>
  </xdr:twoCellAnchor>
  <xdr:twoCellAnchor>
    <xdr:from>
      <xdr:col>2</xdr:col>
      <xdr:colOff>304800</xdr:colOff>
      <xdr:row>26</xdr:row>
      <xdr:rowOff>66675</xdr:rowOff>
    </xdr:from>
    <xdr:to>
      <xdr:col>2</xdr:col>
      <xdr:colOff>304800</xdr:colOff>
      <xdr:row>29</xdr:row>
      <xdr:rowOff>66675</xdr:rowOff>
    </xdr:to>
    <xdr:cxnSp macro="">
      <xdr:nvCxnSpPr>
        <xdr:cNvPr id="21" name="lin_Splitter 2_11">
          <a:extLst>
            <a:ext uri="{FF2B5EF4-FFF2-40B4-BE49-F238E27FC236}">
              <a16:creationId xmlns:a16="http://schemas.microsoft.com/office/drawing/2014/main" id="{596F945A-BD82-88BC-1A76-017D020881BE}"/>
            </a:ext>
          </a:extLst>
        </xdr:cNvPr>
        <xdr:cNvCxnSpPr/>
      </xdr:nvCxnSpPr>
      <xdr:spPr>
        <a:xfrm>
          <a:off x="1524000" y="506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30</xdr:row>
      <xdr:rowOff>66675</xdr:rowOff>
    </xdr:from>
    <xdr:to>
      <xdr:col>1</xdr:col>
      <xdr:colOff>326981</xdr:colOff>
      <xdr:row>32</xdr:row>
      <xdr:rowOff>30128</xdr:rowOff>
    </xdr:to>
    <xdr:sp macro="" textlink="">
      <xdr:nvSpPr>
        <xdr:cNvPr id="24" name="Rectangle 23">
          <a:extLst>
            <a:ext uri="{FF2B5EF4-FFF2-40B4-BE49-F238E27FC236}">
              <a16:creationId xmlns:a16="http://schemas.microsoft.com/office/drawing/2014/main" id="{A47B1AC6-62C9-5443-BB36-F149E5EFB3EE}"/>
            </a:ext>
          </a:extLst>
        </xdr:cNvPr>
        <xdr:cNvSpPr/>
      </xdr:nvSpPr>
      <xdr:spPr>
        <a:xfrm>
          <a:off x="282619" y="582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-18.51dBm</a:t>
          </a:r>
        </a:p>
      </xdr:txBody>
    </xdr:sp>
    <xdr:clientData/>
  </xdr:twoCellAnchor>
  <xdr:twoCellAnchor>
    <xdr:from>
      <xdr:col>1</xdr:col>
      <xdr:colOff>326981</xdr:colOff>
      <xdr:row>30</xdr:row>
      <xdr:rowOff>66675</xdr:rowOff>
    </xdr:from>
    <xdr:to>
      <xdr:col>2</xdr:col>
      <xdr:colOff>114300</xdr:colOff>
      <xdr:row>30</xdr:row>
      <xdr:rowOff>66675</xdr:rowOff>
    </xdr:to>
    <xdr:cxnSp macro="">
      <xdr:nvCxnSpPr>
        <xdr:cNvPr id="25" name="Straight Arrow Connector 24">
          <a:extLst>
            <a:ext uri="{FF2B5EF4-FFF2-40B4-BE49-F238E27FC236}">
              <a16:creationId xmlns:a16="http://schemas.microsoft.com/office/drawing/2014/main" id="{CD87DCDC-1DF8-D0A9-9C0B-3C2180229455}"/>
            </a:ext>
          </a:extLst>
        </xdr:cNvPr>
        <xdr:cNvCxnSpPr/>
      </xdr:nvCxnSpPr>
      <xdr:spPr>
        <a:xfrm>
          <a:off x="936581" y="5829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34</xdr:row>
      <xdr:rowOff>66675</xdr:rowOff>
    </xdr:from>
    <xdr:to>
      <xdr:col>2</xdr:col>
      <xdr:colOff>495300</xdr:colOff>
      <xdr:row>36</xdr:row>
      <xdr:rowOff>66675</xdr:rowOff>
    </xdr:to>
    <xdr:sp macro="" textlink="">
      <xdr:nvSpPr>
        <xdr:cNvPr id="26" name="sym_Splitter 2_12">
          <a:extLst>
            <a:ext uri="{FF2B5EF4-FFF2-40B4-BE49-F238E27FC236}">
              <a16:creationId xmlns:a16="http://schemas.microsoft.com/office/drawing/2014/main" id="{EA1DEA16-E084-A88C-69A7-6A4A0A72C54D}"/>
            </a:ext>
          </a:extLst>
        </xdr:cNvPr>
        <xdr:cNvSpPr/>
      </xdr:nvSpPr>
      <xdr:spPr>
        <a:xfrm>
          <a:off x="1333500" y="659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5</a:t>
          </a:r>
        </a:p>
      </xdr:txBody>
    </xdr:sp>
    <xdr:clientData/>
  </xdr:twoCellAnchor>
  <xdr:twoCellAnchor>
    <xdr:from>
      <xdr:col>2</xdr:col>
      <xdr:colOff>304800</xdr:colOff>
      <xdr:row>31</xdr:row>
      <xdr:rowOff>66675</xdr:rowOff>
    </xdr:from>
    <xdr:to>
      <xdr:col>2</xdr:col>
      <xdr:colOff>304800</xdr:colOff>
      <xdr:row>34</xdr:row>
      <xdr:rowOff>66675</xdr:rowOff>
    </xdr:to>
    <xdr:cxnSp macro="">
      <xdr:nvCxnSpPr>
        <xdr:cNvPr id="27" name="lin_Splitter 2_12">
          <a:extLst>
            <a:ext uri="{FF2B5EF4-FFF2-40B4-BE49-F238E27FC236}">
              <a16:creationId xmlns:a16="http://schemas.microsoft.com/office/drawing/2014/main" id="{6463F5EB-4BFC-6A45-B10F-5473F975748B}"/>
            </a:ext>
          </a:extLst>
        </xdr:cNvPr>
        <xdr:cNvCxnSpPr/>
      </xdr:nvCxnSpPr>
      <xdr:spPr>
        <a:xfrm>
          <a:off x="1524000" y="6019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35</xdr:row>
      <xdr:rowOff>66675</xdr:rowOff>
    </xdr:from>
    <xdr:to>
      <xdr:col>1</xdr:col>
      <xdr:colOff>326981</xdr:colOff>
      <xdr:row>37</xdr:row>
      <xdr:rowOff>30128</xdr:rowOff>
    </xdr:to>
    <xdr:sp macro="" textlink="">
      <xdr:nvSpPr>
        <xdr:cNvPr id="30" name="Rectangle 29">
          <a:extLst>
            <a:ext uri="{FF2B5EF4-FFF2-40B4-BE49-F238E27FC236}">
              <a16:creationId xmlns:a16="http://schemas.microsoft.com/office/drawing/2014/main" id="{A60DCC6A-F5B5-7DAE-557D-C395BF406ECF}"/>
            </a:ext>
          </a:extLst>
        </xdr:cNvPr>
        <xdr:cNvSpPr/>
      </xdr:nvSpPr>
      <xdr:spPr>
        <a:xfrm>
          <a:off x="282619" y="6781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-21.99dBm</a:t>
          </a:r>
        </a:p>
      </xdr:txBody>
    </xdr:sp>
    <xdr:clientData/>
  </xdr:twoCellAnchor>
  <xdr:twoCellAnchor>
    <xdr:from>
      <xdr:col>1</xdr:col>
      <xdr:colOff>326981</xdr:colOff>
      <xdr:row>35</xdr:row>
      <xdr:rowOff>66675</xdr:rowOff>
    </xdr:from>
    <xdr:to>
      <xdr:col>2</xdr:col>
      <xdr:colOff>114300</xdr:colOff>
      <xdr:row>35</xdr:row>
      <xdr:rowOff>66675</xdr:rowOff>
    </xdr:to>
    <xdr:cxnSp macro="">
      <xdr:nvCxnSpPr>
        <xdr:cNvPr id="31" name="Straight Arrow Connector 30">
          <a:extLst>
            <a:ext uri="{FF2B5EF4-FFF2-40B4-BE49-F238E27FC236}">
              <a16:creationId xmlns:a16="http://schemas.microsoft.com/office/drawing/2014/main" id="{059B51AC-AED2-97B0-7402-FD483AA5234F}"/>
            </a:ext>
          </a:extLst>
        </xdr:cNvPr>
        <xdr:cNvCxnSpPr/>
      </xdr:nvCxnSpPr>
      <xdr:spPr>
        <a:xfrm>
          <a:off x="936581" y="6781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39</xdr:row>
      <xdr:rowOff>66675</xdr:rowOff>
    </xdr:from>
    <xdr:to>
      <xdr:col>2</xdr:col>
      <xdr:colOff>495300</xdr:colOff>
      <xdr:row>41</xdr:row>
      <xdr:rowOff>66675</xdr:rowOff>
    </xdr:to>
    <xdr:sp macro="" textlink="">
      <xdr:nvSpPr>
        <xdr:cNvPr id="32" name="sym_Splitter 2_13">
          <a:extLst>
            <a:ext uri="{FF2B5EF4-FFF2-40B4-BE49-F238E27FC236}">
              <a16:creationId xmlns:a16="http://schemas.microsoft.com/office/drawing/2014/main" id="{ABDC86D7-9D1D-829C-7C04-D6730DB8B4CB}"/>
            </a:ext>
          </a:extLst>
        </xdr:cNvPr>
        <xdr:cNvSpPr/>
      </xdr:nvSpPr>
      <xdr:spPr>
        <a:xfrm>
          <a:off x="1333500" y="754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6</a:t>
          </a:r>
        </a:p>
      </xdr:txBody>
    </xdr:sp>
    <xdr:clientData/>
  </xdr:twoCellAnchor>
  <xdr:twoCellAnchor>
    <xdr:from>
      <xdr:col>2</xdr:col>
      <xdr:colOff>304800</xdr:colOff>
      <xdr:row>36</xdr:row>
      <xdr:rowOff>66675</xdr:rowOff>
    </xdr:from>
    <xdr:to>
      <xdr:col>2</xdr:col>
      <xdr:colOff>304800</xdr:colOff>
      <xdr:row>39</xdr:row>
      <xdr:rowOff>66675</xdr:rowOff>
    </xdr:to>
    <xdr:cxnSp macro="">
      <xdr:nvCxnSpPr>
        <xdr:cNvPr id="33" name="lin_Splitter 2_13">
          <a:extLst>
            <a:ext uri="{FF2B5EF4-FFF2-40B4-BE49-F238E27FC236}">
              <a16:creationId xmlns:a16="http://schemas.microsoft.com/office/drawing/2014/main" id="{BC0EAC8C-64DE-07CB-6EF3-5CDD15F791AC}"/>
            </a:ext>
          </a:extLst>
        </xdr:cNvPr>
        <xdr:cNvCxnSpPr/>
      </xdr:nvCxnSpPr>
      <xdr:spPr>
        <a:xfrm>
          <a:off x="1524000" y="697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44</xdr:row>
      <xdr:rowOff>66675</xdr:rowOff>
    </xdr:from>
    <xdr:to>
      <xdr:col>2</xdr:col>
      <xdr:colOff>495300</xdr:colOff>
      <xdr:row>46</xdr:row>
      <xdr:rowOff>66675</xdr:rowOff>
    </xdr:to>
    <xdr:sp macro="" textlink="">
      <xdr:nvSpPr>
        <xdr:cNvPr id="36" name="sym_Splitter 2_14">
          <a:extLst>
            <a:ext uri="{FF2B5EF4-FFF2-40B4-BE49-F238E27FC236}">
              <a16:creationId xmlns:a16="http://schemas.microsoft.com/office/drawing/2014/main" id="{9A36E65D-C3EC-7C0D-948A-4202DE646263}"/>
            </a:ext>
          </a:extLst>
        </xdr:cNvPr>
        <xdr:cNvSpPr/>
      </xdr:nvSpPr>
      <xdr:spPr>
        <a:xfrm>
          <a:off x="1333500" y="849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7</a:t>
          </a:r>
        </a:p>
      </xdr:txBody>
    </xdr:sp>
    <xdr:clientData/>
  </xdr:twoCellAnchor>
  <xdr:twoCellAnchor>
    <xdr:from>
      <xdr:col>2</xdr:col>
      <xdr:colOff>304800</xdr:colOff>
      <xdr:row>41</xdr:row>
      <xdr:rowOff>66675</xdr:rowOff>
    </xdr:from>
    <xdr:to>
      <xdr:col>2</xdr:col>
      <xdr:colOff>304800</xdr:colOff>
      <xdr:row>44</xdr:row>
      <xdr:rowOff>66675</xdr:rowOff>
    </xdr:to>
    <xdr:cxnSp macro="">
      <xdr:nvCxnSpPr>
        <xdr:cNvPr id="37" name="lin_Splitter 2_14">
          <a:extLst>
            <a:ext uri="{FF2B5EF4-FFF2-40B4-BE49-F238E27FC236}">
              <a16:creationId xmlns:a16="http://schemas.microsoft.com/office/drawing/2014/main" id="{61060E53-6FF0-30BF-EAFF-577FC0B2ABDE}"/>
            </a:ext>
          </a:extLst>
        </xdr:cNvPr>
        <xdr:cNvCxnSpPr/>
      </xdr:nvCxnSpPr>
      <xdr:spPr>
        <a:xfrm>
          <a:off x="1524000" y="7924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45</xdr:row>
      <xdr:rowOff>66675</xdr:rowOff>
    </xdr:from>
    <xdr:to>
      <xdr:col>1</xdr:col>
      <xdr:colOff>326981</xdr:colOff>
      <xdr:row>47</xdr:row>
      <xdr:rowOff>30128</xdr:rowOff>
    </xdr:to>
    <xdr:sp macro="" textlink="">
      <xdr:nvSpPr>
        <xdr:cNvPr id="40" name="Rectangle 39">
          <a:extLst>
            <a:ext uri="{FF2B5EF4-FFF2-40B4-BE49-F238E27FC236}">
              <a16:creationId xmlns:a16="http://schemas.microsoft.com/office/drawing/2014/main" id="{A8C158D7-6878-95EF-70CA-54019B0969C0}"/>
            </a:ext>
          </a:extLst>
        </xdr:cNvPr>
        <xdr:cNvSpPr/>
      </xdr:nvSpPr>
      <xdr:spPr>
        <a:xfrm>
          <a:off x="282619" y="8686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-18.85dBm</a:t>
          </a:r>
        </a:p>
      </xdr:txBody>
    </xdr:sp>
    <xdr:clientData/>
  </xdr:twoCellAnchor>
  <xdr:twoCellAnchor>
    <xdr:from>
      <xdr:col>1</xdr:col>
      <xdr:colOff>326981</xdr:colOff>
      <xdr:row>45</xdr:row>
      <xdr:rowOff>66675</xdr:rowOff>
    </xdr:from>
    <xdr:to>
      <xdr:col>2</xdr:col>
      <xdr:colOff>114300</xdr:colOff>
      <xdr:row>45</xdr:row>
      <xdr:rowOff>66675</xdr:rowOff>
    </xdr:to>
    <xdr:cxnSp macro="">
      <xdr:nvCxnSpPr>
        <xdr:cNvPr id="41" name="Straight Arrow Connector 40">
          <a:extLst>
            <a:ext uri="{FF2B5EF4-FFF2-40B4-BE49-F238E27FC236}">
              <a16:creationId xmlns:a16="http://schemas.microsoft.com/office/drawing/2014/main" id="{37F4C7DC-FDA0-1A82-9840-52A9803DE4F4}"/>
            </a:ext>
          </a:extLst>
        </xdr:cNvPr>
        <xdr:cNvCxnSpPr/>
      </xdr:nvCxnSpPr>
      <xdr:spPr>
        <a:xfrm>
          <a:off x="936581" y="8686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49</xdr:row>
      <xdr:rowOff>66675</xdr:rowOff>
    </xdr:from>
    <xdr:to>
      <xdr:col>2</xdr:col>
      <xdr:colOff>495300</xdr:colOff>
      <xdr:row>51</xdr:row>
      <xdr:rowOff>66675</xdr:rowOff>
    </xdr:to>
    <xdr:sp macro="" textlink="">
      <xdr:nvSpPr>
        <xdr:cNvPr id="42" name="sym_Splitter 2_15">
          <a:extLst>
            <a:ext uri="{FF2B5EF4-FFF2-40B4-BE49-F238E27FC236}">
              <a16:creationId xmlns:a16="http://schemas.microsoft.com/office/drawing/2014/main" id="{CD621EE8-2B90-F4E4-BC0E-9B809D73AC85}"/>
            </a:ext>
          </a:extLst>
        </xdr:cNvPr>
        <xdr:cNvSpPr/>
      </xdr:nvSpPr>
      <xdr:spPr>
        <a:xfrm>
          <a:off x="1333500" y="944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8</a:t>
          </a:r>
        </a:p>
      </xdr:txBody>
    </xdr:sp>
    <xdr:clientData/>
  </xdr:twoCellAnchor>
  <xdr:twoCellAnchor>
    <xdr:from>
      <xdr:col>2</xdr:col>
      <xdr:colOff>304800</xdr:colOff>
      <xdr:row>46</xdr:row>
      <xdr:rowOff>66675</xdr:rowOff>
    </xdr:from>
    <xdr:to>
      <xdr:col>2</xdr:col>
      <xdr:colOff>304800</xdr:colOff>
      <xdr:row>49</xdr:row>
      <xdr:rowOff>66675</xdr:rowOff>
    </xdr:to>
    <xdr:cxnSp macro="">
      <xdr:nvCxnSpPr>
        <xdr:cNvPr id="43" name="lin_Splitter 2_15">
          <a:extLst>
            <a:ext uri="{FF2B5EF4-FFF2-40B4-BE49-F238E27FC236}">
              <a16:creationId xmlns:a16="http://schemas.microsoft.com/office/drawing/2014/main" id="{19541FC2-B557-AB0F-FD18-9692A4F9E004}"/>
            </a:ext>
          </a:extLst>
        </xdr:cNvPr>
        <xdr:cNvCxnSpPr/>
      </xdr:nvCxnSpPr>
      <xdr:spPr>
        <a:xfrm>
          <a:off x="1524000" y="887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50</xdr:row>
      <xdr:rowOff>66675</xdr:rowOff>
    </xdr:from>
    <xdr:to>
      <xdr:col>1</xdr:col>
      <xdr:colOff>326981</xdr:colOff>
      <xdr:row>52</xdr:row>
      <xdr:rowOff>30128</xdr:rowOff>
    </xdr:to>
    <xdr:sp macro="" textlink="">
      <xdr:nvSpPr>
        <xdr:cNvPr id="46" name="Rectangle 45">
          <a:extLst>
            <a:ext uri="{FF2B5EF4-FFF2-40B4-BE49-F238E27FC236}">
              <a16:creationId xmlns:a16="http://schemas.microsoft.com/office/drawing/2014/main" id="{13D6FDEE-15FA-D2C5-2159-A5ACD8AD43FA}"/>
            </a:ext>
          </a:extLst>
        </xdr:cNvPr>
        <xdr:cNvSpPr/>
      </xdr:nvSpPr>
      <xdr:spPr>
        <a:xfrm>
          <a:off x="282619" y="963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-18.95dBm</a:t>
          </a:r>
        </a:p>
      </xdr:txBody>
    </xdr:sp>
    <xdr:clientData/>
  </xdr:twoCellAnchor>
  <xdr:twoCellAnchor>
    <xdr:from>
      <xdr:col>1</xdr:col>
      <xdr:colOff>326981</xdr:colOff>
      <xdr:row>50</xdr:row>
      <xdr:rowOff>66675</xdr:rowOff>
    </xdr:from>
    <xdr:to>
      <xdr:col>2</xdr:col>
      <xdr:colOff>114300</xdr:colOff>
      <xdr:row>50</xdr:row>
      <xdr:rowOff>66675</xdr:rowOff>
    </xdr:to>
    <xdr:cxnSp macro="">
      <xdr:nvCxnSpPr>
        <xdr:cNvPr id="47" name="Straight Arrow Connector 46">
          <a:extLst>
            <a:ext uri="{FF2B5EF4-FFF2-40B4-BE49-F238E27FC236}">
              <a16:creationId xmlns:a16="http://schemas.microsoft.com/office/drawing/2014/main" id="{E40AE948-6ED6-D69F-70A2-5EF5E19FC90D}"/>
            </a:ext>
          </a:extLst>
        </xdr:cNvPr>
        <xdr:cNvCxnSpPr/>
      </xdr:nvCxnSpPr>
      <xdr:spPr>
        <a:xfrm>
          <a:off x="936581" y="9639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495300</xdr:colOff>
      <xdr:row>40</xdr:row>
      <xdr:rowOff>66675</xdr:rowOff>
    </xdr:from>
    <xdr:to>
      <xdr:col>8</xdr:col>
      <xdr:colOff>0</xdr:colOff>
      <xdr:row>40</xdr:row>
      <xdr:rowOff>66675</xdr:rowOff>
    </xdr:to>
    <xdr:cxnSp macro="">
      <xdr:nvCxnSpPr>
        <xdr:cNvPr id="48" name="Straight Arrow Connector 47">
          <a:extLst>
            <a:ext uri="{FF2B5EF4-FFF2-40B4-BE49-F238E27FC236}">
              <a16:creationId xmlns:a16="http://schemas.microsoft.com/office/drawing/2014/main" id="{397B118E-2BF1-A026-22D4-8FE5A6354B85}"/>
            </a:ext>
          </a:extLst>
        </xdr:cNvPr>
        <xdr:cNvCxnSpPr/>
      </xdr:nvCxnSpPr>
      <xdr:spPr>
        <a:xfrm>
          <a:off x="1714500" y="7734300"/>
          <a:ext cx="31623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419100</xdr:colOff>
      <xdr:row>44</xdr:row>
      <xdr:rowOff>66675</xdr:rowOff>
    </xdr:from>
    <xdr:to>
      <xdr:col>8</xdr:col>
      <xdr:colOff>190500</xdr:colOff>
      <xdr:row>46</xdr:row>
      <xdr:rowOff>66675</xdr:rowOff>
    </xdr:to>
    <xdr:sp macro="" textlink="">
      <xdr:nvSpPr>
        <xdr:cNvPr id="50" name="sym_Splitter 2_128" descr="Splitter 2~13">
          <a:extLst>
            <a:ext uri="{FF2B5EF4-FFF2-40B4-BE49-F238E27FC236}">
              <a16:creationId xmlns:a16="http://schemas.microsoft.com/office/drawing/2014/main" id="{04148F38-1425-154D-7083-51F08F02DB29}"/>
            </a:ext>
          </a:extLst>
        </xdr:cNvPr>
        <xdr:cNvSpPr/>
      </xdr:nvSpPr>
      <xdr:spPr>
        <a:xfrm>
          <a:off x="4686300" y="849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8</xdr:col>
      <xdr:colOff>0</xdr:colOff>
      <xdr:row>40</xdr:row>
      <xdr:rowOff>66675</xdr:rowOff>
    </xdr:from>
    <xdr:to>
      <xdr:col>8</xdr:col>
      <xdr:colOff>0</xdr:colOff>
      <xdr:row>44</xdr:row>
      <xdr:rowOff>66675</xdr:rowOff>
    </xdr:to>
    <xdr:cxnSp macro="">
      <xdr:nvCxnSpPr>
        <xdr:cNvPr id="51" name="lin_Splitter 2_128">
          <a:extLst>
            <a:ext uri="{FF2B5EF4-FFF2-40B4-BE49-F238E27FC236}">
              <a16:creationId xmlns:a16="http://schemas.microsoft.com/office/drawing/2014/main" id="{977D6940-473C-55CF-00D9-A8795EE34074}"/>
            </a:ext>
          </a:extLst>
        </xdr:cNvPr>
        <xdr:cNvCxnSpPr/>
      </xdr:nvCxnSpPr>
      <xdr:spPr>
        <a:xfrm>
          <a:off x="4876800" y="7734300"/>
          <a:ext cx="0" cy="7620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587419</xdr:colOff>
      <xdr:row>45</xdr:row>
      <xdr:rowOff>66675</xdr:rowOff>
    </xdr:from>
    <xdr:to>
      <xdr:col>7</xdr:col>
      <xdr:colOff>22181</xdr:colOff>
      <xdr:row>47</xdr:row>
      <xdr:rowOff>30128</xdr:rowOff>
    </xdr:to>
    <xdr:sp macro="" textlink="">
      <xdr:nvSpPr>
        <xdr:cNvPr id="54" name="Rectangle 53">
          <a:extLst>
            <a:ext uri="{FF2B5EF4-FFF2-40B4-BE49-F238E27FC236}">
              <a16:creationId xmlns:a16="http://schemas.microsoft.com/office/drawing/2014/main" id="{3B1EFBA2-FDE3-C22E-8667-BB3E0E6B7649}"/>
            </a:ext>
          </a:extLst>
        </xdr:cNvPr>
        <xdr:cNvSpPr/>
      </xdr:nvSpPr>
      <xdr:spPr>
        <a:xfrm>
          <a:off x="3635419" y="8686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-20.04dBm</a:t>
          </a:r>
        </a:p>
      </xdr:txBody>
    </xdr:sp>
    <xdr:clientData/>
  </xdr:twoCellAnchor>
  <xdr:twoCellAnchor>
    <xdr:from>
      <xdr:col>7</xdr:col>
      <xdr:colOff>22181</xdr:colOff>
      <xdr:row>45</xdr:row>
      <xdr:rowOff>66675</xdr:rowOff>
    </xdr:from>
    <xdr:to>
      <xdr:col>7</xdr:col>
      <xdr:colOff>419100</xdr:colOff>
      <xdr:row>45</xdr:row>
      <xdr:rowOff>66675</xdr:rowOff>
    </xdr:to>
    <xdr:cxnSp macro="">
      <xdr:nvCxnSpPr>
        <xdr:cNvPr id="55" name="Straight Arrow Connector 54">
          <a:extLst>
            <a:ext uri="{FF2B5EF4-FFF2-40B4-BE49-F238E27FC236}">
              <a16:creationId xmlns:a16="http://schemas.microsoft.com/office/drawing/2014/main" id="{40F8C24C-4A97-D72B-85E2-1AE35C2030E6}"/>
            </a:ext>
          </a:extLst>
        </xdr:cNvPr>
        <xdr:cNvCxnSpPr/>
      </xdr:nvCxnSpPr>
      <xdr:spPr>
        <a:xfrm>
          <a:off x="4289381" y="8686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495300</xdr:colOff>
      <xdr:row>25</xdr:row>
      <xdr:rowOff>66675</xdr:rowOff>
    </xdr:from>
    <xdr:to>
      <xdr:col>13</xdr:col>
      <xdr:colOff>304800</xdr:colOff>
      <xdr:row>25</xdr:row>
      <xdr:rowOff>66675</xdr:rowOff>
    </xdr:to>
    <xdr:cxnSp macro="">
      <xdr:nvCxnSpPr>
        <xdr:cNvPr id="56" name="Straight Arrow Connector 55">
          <a:extLst>
            <a:ext uri="{FF2B5EF4-FFF2-40B4-BE49-F238E27FC236}">
              <a16:creationId xmlns:a16="http://schemas.microsoft.com/office/drawing/2014/main" id="{54291296-0A4C-FEFE-CE43-D72DF0C8AEC5}"/>
            </a:ext>
          </a:extLst>
        </xdr:cNvPr>
        <xdr:cNvCxnSpPr/>
      </xdr:nvCxnSpPr>
      <xdr:spPr>
        <a:xfrm>
          <a:off x="1714500" y="4876800"/>
          <a:ext cx="65151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114300</xdr:colOff>
      <xdr:row>29</xdr:row>
      <xdr:rowOff>66675</xdr:rowOff>
    </xdr:from>
    <xdr:to>
      <xdr:col>13</xdr:col>
      <xdr:colOff>495300</xdr:colOff>
      <xdr:row>31</xdr:row>
      <xdr:rowOff>66675</xdr:rowOff>
    </xdr:to>
    <xdr:sp macro="" textlink="">
      <xdr:nvSpPr>
        <xdr:cNvPr id="58" name="sym_Splitter 2_109" descr="Splitter 2~10">
          <a:extLst>
            <a:ext uri="{FF2B5EF4-FFF2-40B4-BE49-F238E27FC236}">
              <a16:creationId xmlns:a16="http://schemas.microsoft.com/office/drawing/2014/main" id="{9A7278E4-7E11-8561-BA64-FFB0E837E8F2}"/>
            </a:ext>
          </a:extLst>
        </xdr:cNvPr>
        <xdr:cNvSpPr/>
      </xdr:nvSpPr>
      <xdr:spPr>
        <a:xfrm>
          <a:off x="8039100" y="563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13</xdr:col>
      <xdr:colOff>304800</xdr:colOff>
      <xdr:row>25</xdr:row>
      <xdr:rowOff>66675</xdr:rowOff>
    </xdr:from>
    <xdr:to>
      <xdr:col>13</xdr:col>
      <xdr:colOff>304800</xdr:colOff>
      <xdr:row>29</xdr:row>
      <xdr:rowOff>66675</xdr:rowOff>
    </xdr:to>
    <xdr:cxnSp macro="">
      <xdr:nvCxnSpPr>
        <xdr:cNvPr id="59" name="lin_Splitter 2_109">
          <a:extLst>
            <a:ext uri="{FF2B5EF4-FFF2-40B4-BE49-F238E27FC236}">
              <a16:creationId xmlns:a16="http://schemas.microsoft.com/office/drawing/2014/main" id="{C8B9AC55-C196-A9A9-3622-73ED514AD4CF}"/>
            </a:ext>
          </a:extLst>
        </xdr:cNvPr>
        <xdr:cNvCxnSpPr/>
      </xdr:nvCxnSpPr>
      <xdr:spPr>
        <a:xfrm>
          <a:off x="8229600" y="4876800"/>
          <a:ext cx="0" cy="7620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114300</xdr:colOff>
      <xdr:row>34</xdr:row>
      <xdr:rowOff>66675</xdr:rowOff>
    </xdr:from>
    <xdr:to>
      <xdr:col>13</xdr:col>
      <xdr:colOff>495300</xdr:colOff>
      <xdr:row>36</xdr:row>
      <xdr:rowOff>66675</xdr:rowOff>
    </xdr:to>
    <xdr:sp macro="" textlink="">
      <xdr:nvSpPr>
        <xdr:cNvPr id="62" name="sym_Splitter 2_110">
          <a:extLst>
            <a:ext uri="{FF2B5EF4-FFF2-40B4-BE49-F238E27FC236}">
              <a16:creationId xmlns:a16="http://schemas.microsoft.com/office/drawing/2014/main" id="{22BB9065-35C7-78D8-7A1D-600A3FDD89B4}"/>
            </a:ext>
          </a:extLst>
        </xdr:cNvPr>
        <xdr:cNvSpPr/>
      </xdr:nvSpPr>
      <xdr:spPr>
        <a:xfrm>
          <a:off x="8039100" y="659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2</a:t>
          </a:r>
        </a:p>
      </xdr:txBody>
    </xdr:sp>
    <xdr:clientData/>
  </xdr:twoCellAnchor>
  <xdr:twoCellAnchor>
    <xdr:from>
      <xdr:col>13</xdr:col>
      <xdr:colOff>304800</xdr:colOff>
      <xdr:row>31</xdr:row>
      <xdr:rowOff>66675</xdr:rowOff>
    </xdr:from>
    <xdr:to>
      <xdr:col>13</xdr:col>
      <xdr:colOff>304800</xdr:colOff>
      <xdr:row>34</xdr:row>
      <xdr:rowOff>66675</xdr:rowOff>
    </xdr:to>
    <xdr:cxnSp macro="">
      <xdr:nvCxnSpPr>
        <xdr:cNvPr id="63" name="lin_Splitter 2_110">
          <a:extLst>
            <a:ext uri="{FF2B5EF4-FFF2-40B4-BE49-F238E27FC236}">
              <a16:creationId xmlns:a16="http://schemas.microsoft.com/office/drawing/2014/main" id="{58E642E7-CF7D-16E8-3358-C26C9977BC90}"/>
            </a:ext>
          </a:extLst>
        </xdr:cNvPr>
        <xdr:cNvCxnSpPr/>
      </xdr:nvCxnSpPr>
      <xdr:spPr>
        <a:xfrm>
          <a:off x="8229600" y="6019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114300</xdr:colOff>
      <xdr:row>39</xdr:row>
      <xdr:rowOff>66675</xdr:rowOff>
    </xdr:from>
    <xdr:to>
      <xdr:col>13</xdr:col>
      <xdr:colOff>495300</xdr:colOff>
      <xdr:row>41</xdr:row>
      <xdr:rowOff>66675</xdr:rowOff>
    </xdr:to>
    <xdr:sp macro="" textlink="">
      <xdr:nvSpPr>
        <xdr:cNvPr id="66" name="sym_Splitter 2_111">
          <a:extLst>
            <a:ext uri="{FF2B5EF4-FFF2-40B4-BE49-F238E27FC236}">
              <a16:creationId xmlns:a16="http://schemas.microsoft.com/office/drawing/2014/main" id="{885C174F-203B-2F2C-548C-1440D5F38DD8}"/>
            </a:ext>
          </a:extLst>
        </xdr:cNvPr>
        <xdr:cNvSpPr/>
      </xdr:nvSpPr>
      <xdr:spPr>
        <a:xfrm>
          <a:off x="8039100" y="754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3</a:t>
          </a:r>
        </a:p>
      </xdr:txBody>
    </xdr:sp>
    <xdr:clientData/>
  </xdr:twoCellAnchor>
  <xdr:twoCellAnchor>
    <xdr:from>
      <xdr:col>13</xdr:col>
      <xdr:colOff>304800</xdr:colOff>
      <xdr:row>36</xdr:row>
      <xdr:rowOff>66675</xdr:rowOff>
    </xdr:from>
    <xdr:to>
      <xdr:col>13</xdr:col>
      <xdr:colOff>304800</xdr:colOff>
      <xdr:row>39</xdr:row>
      <xdr:rowOff>66675</xdr:rowOff>
    </xdr:to>
    <xdr:cxnSp macro="">
      <xdr:nvCxnSpPr>
        <xdr:cNvPr id="67" name="lin_Splitter 2_111">
          <a:extLst>
            <a:ext uri="{FF2B5EF4-FFF2-40B4-BE49-F238E27FC236}">
              <a16:creationId xmlns:a16="http://schemas.microsoft.com/office/drawing/2014/main" id="{205AD767-BF60-3F49-4B9A-9CF0B7CD4368}"/>
            </a:ext>
          </a:extLst>
        </xdr:cNvPr>
        <xdr:cNvCxnSpPr/>
      </xdr:nvCxnSpPr>
      <xdr:spPr>
        <a:xfrm>
          <a:off x="8229600" y="697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282619</xdr:colOff>
      <xdr:row>40</xdr:row>
      <xdr:rowOff>66675</xdr:rowOff>
    </xdr:from>
    <xdr:to>
      <xdr:col>12</xdr:col>
      <xdr:colOff>326981</xdr:colOff>
      <xdr:row>42</xdr:row>
      <xdr:rowOff>30128</xdr:rowOff>
    </xdr:to>
    <xdr:sp macro="" textlink="">
      <xdr:nvSpPr>
        <xdr:cNvPr id="70" name="Rectangle 69">
          <a:extLst>
            <a:ext uri="{FF2B5EF4-FFF2-40B4-BE49-F238E27FC236}">
              <a16:creationId xmlns:a16="http://schemas.microsoft.com/office/drawing/2014/main" id="{91CC2E28-67DD-85D0-E6D2-61F2EE7169AE}"/>
            </a:ext>
          </a:extLst>
        </xdr:cNvPr>
        <xdr:cNvSpPr/>
      </xdr:nvSpPr>
      <xdr:spPr>
        <a:xfrm>
          <a:off x="6988219" y="7734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-19.76dBm</a:t>
          </a:r>
        </a:p>
      </xdr:txBody>
    </xdr:sp>
    <xdr:clientData/>
  </xdr:twoCellAnchor>
  <xdr:twoCellAnchor>
    <xdr:from>
      <xdr:col>12</xdr:col>
      <xdr:colOff>326982</xdr:colOff>
      <xdr:row>40</xdr:row>
      <xdr:rowOff>66675</xdr:rowOff>
    </xdr:from>
    <xdr:to>
      <xdr:col>13</xdr:col>
      <xdr:colOff>114300</xdr:colOff>
      <xdr:row>40</xdr:row>
      <xdr:rowOff>66675</xdr:rowOff>
    </xdr:to>
    <xdr:cxnSp macro="">
      <xdr:nvCxnSpPr>
        <xdr:cNvPr id="71" name="Straight Arrow Connector 70">
          <a:extLst>
            <a:ext uri="{FF2B5EF4-FFF2-40B4-BE49-F238E27FC236}">
              <a16:creationId xmlns:a16="http://schemas.microsoft.com/office/drawing/2014/main" id="{7E569DF6-0F1B-B929-2FF2-6DEA2C59CD14}"/>
            </a:ext>
          </a:extLst>
        </xdr:cNvPr>
        <xdr:cNvCxnSpPr/>
      </xdr:nvCxnSpPr>
      <xdr:spPr>
        <a:xfrm>
          <a:off x="7642182" y="7734300"/>
          <a:ext cx="396918"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495300</xdr:colOff>
      <xdr:row>20</xdr:row>
      <xdr:rowOff>66675</xdr:rowOff>
    </xdr:from>
    <xdr:to>
      <xdr:col>19</xdr:col>
      <xdr:colOff>0</xdr:colOff>
      <xdr:row>20</xdr:row>
      <xdr:rowOff>66675</xdr:rowOff>
    </xdr:to>
    <xdr:cxnSp macro="">
      <xdr:nvCxnSpPr>
        <xdr:cNvPr id="72" name="Straight Arrow Connector 71">
          <a:extLst>
            <a:ext uri="{FF2B5EF4-FFF2-40B4-BE49-F238E27FC236}">
              <a16:creationId xmlns:a16="http://schemas.microsoft.com/office/drawing/2014/main" id="{D469E931-869A-B439-B6B8-3D8B8576A4B6}"/>
            </a:ext>
          </a:extLst>
        </xdr:cNvPr>
        <xdr:cNvCxnSpPr/>
      </xdr:nvCxnSpPr>
      <xdr:spPr>
        <a:xfrm>
          <a:off x="1714500" y="3924300"/>
          <a:ext cx="98679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419100</xdr:colOff>
      <xdr:row>24</xdr:row>
      <xdr:rowOff>66675</xdr:rowOff>
    </xdr:from>
    <xdr:to>
      <xdr:col>19</xdr:col>
      <xdr:colOff>190500</xdr:colOff>
      <xdr:row>26</xdr:row>
      <xdr:rowOff>66675</xdr:rowOff>
    </xdr:to>
    <xdr:sp macro="" textlink="">
      <xdr:nvSpPr>
        <xdr:cNvPr id="74" name="sym_Splitter 2_43" descr="Splitter 2~9">
          <a:extLst>
            <a:ext uri="{FF2B5EF4-FFF2-40B4-BE49-F238E27FC236}">
              <a16:creationId xmlns:a16="http://schemas.microsoft.com/office/drawing/2014/main" id="{49A72285-A7CD-F69C-5B7A-CCE4FF8D84EC}"/>
            </a:ext>
          </a:extLst>
        </xdr:cNvPr>
        <xdr:cNvSpPr/>
      </xdr:nvSpPr>
      <xdr:spPr>
        <a:xfrm>
          <a:off x="11391900" y="468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19</xdr:col>
      <xdr:colOff>0</xdr:colOff>
      <xdr:row>20</xdr:row>
      <xdr:rowOff>66675</xdr:rowOff>
    </xdr:from>
    <xdr:to>
      <xdr:col>19</xdr:col>
      <xdr:colOff>0</xdr:colOff>
      <xdr:row>24</xdr:row>
      <xdr:rowOff>66675</xdr:rowOff>
    </xdr:to>
    <xdr:cxnSp macro="">
      <xdr:nvCxnSpPr>
        <xdr:cNvPr id="75" name="lin_Splitter 2_43">
          <a:extLst>
            <a:ext uri="{FF2B5EF4-FFF2-40B4-BE49-F238E27FC236}">
              <a16:creationId xmlns:a16="http://schemas.microsoft.com/office/drawing/2014/main" id="{860C597B-6CEA-FF3B-034C-1E826784D6ED}"/>
            </a:ext>
          </a:extLst>
        </xdr:cNvPr>
        <xdr:cNvCxnSpPr/>
      </xdr:nvCxnSpPr>
      <xdr:spPr>
        <a:xfrm>
          <a:off x="11582400" y="3924300"/>
          <a:ext cx="0" cy="7620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587419</xdr:colOff>
      <xdr:row>25</xdr:row>
      <xdr:rowOff>66675</xdr:rowOff>
    </xdr:from>
    <xdr:to>
      <xdr:col>18</xdr:col>
      <xdr:colOff>22181</xdr:colOff>
      <xdr:row>27</xdr:row>
      <xdr:rowOff>30128</xdr:rowOff>
    </xdr:to>
    <xdr:sp macro="" textlink="">
      <xdr:nvSpPr>
        <xdr:cNvPr id="78" name="Rectangle 77">
          <a:extLst>
            <a:ext uri="{FF2B5EF4-FFF2-40B4-BE49-F238E27FC236}">
              <a16:creationId xmlns:a16="http://schemas.microsoft.com/office/drawing/2014/main" id="{3AA4113F-0F43-073E-F638-5D7FB5D84614}"/>
            </a:ext>
          </a:extLst>
        </xdr:cNvPr>
        <xdr:cNvSpPr/>
      </xdr:nvSpPr>
      <xdr:spPr>
        <a:xfrm>
          <a:off x="10341019" y="4876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-17.95dBm</a:t>
          </a:r>
        </a:p>
      </xdr:txBody>
    </xdr:sp>
    <xdr:clientData/>
  </xdr:twoCellAnchor>
  <xdr:twoCellAnchor>
    <xdr:from>
      <xdr:col>18</xdr:col>
      <xdr:colOff>22182</xdr:colOff>
      <xdr:row>25</xdr:row>
      <xdr:rowOff>66675</xdr:rowOff>
    </xdr:from>
    <xdr:to>
      <xdr:col>18</xdr:col>
      <xdr:colOff>419100</xdr:colOff>
      <xdr:row>25</xdr:row>
      <xdr:rowOff>66675</xdr:rowOff>
    </xdr:to>
    <xdr:cxnSp macro="">
      <xdr:nvCxnSpPr>
        <xdr:cNvPr id="79" name="Straight Arrow Connector 78">
          <a:extLst>
            <a:ext uri="{FF2B5EF4-FFF2-40B4-BE49-F238E27FC236}">
              <a16:creationId xmlns:a16="http://schemas.microsoft.com/office/drawing/2014/main" id="{B9E7FD25-395A-ACF0-1D04-197A4D8257E1}"/>
            </a:ext>
          </a:extLst>
        </xdr:cNvPr>
        <xdr:cNvCxnSpPr/>
      </xdr:nvCxnSpPr>
      <xdr:spPr>
        <a:xfrm>
          <a:off x="10994982" y="4876800"/>
          <a:ext cx="396918"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419100</xdr:colOff>
      <xdr:row>29</xdr:row>
      <xdr:rowOff>66675</xdr:rowOff>
    </xdr:from>
    <xdr:to>
      <xdr:col>19</xdr:col>
      <xdr:colOff>190500</xdr:colOff>
      <xdr:row>31</xdr:row>
      <xdr:rowOff>66675</xdr:rowOff>
    </xdr:to>
    <xdr:sp macro="" textlink="">
      <xdr:nvSpPr>
        <xdr:cNvPr id="80" name="sym_Splitter 2_44">
          <a:extLst>
            <a:ext uri="{FF2B5EF4-FFF2-40B4-BE49-F238E27FC236}">
              <a16:creationId xmlns:a16="http://schemas.microsoft.com/office/drawing/2014/main" id="{7781A14F-0036-D7F0-E318-631AA38EC258}"/>
            </a:ext>
          </a:extLst>
        </xdr:cNvPr>
        <xdr:cNvSpPr/>
      </xdr:nvSpPr>
      <xdr:spPr>
        <a:xfrm>
          <a:off x="11391900" y="563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2</a:t>
          </a:r>
        </a:p>
      </xdr:txBody>
    </xdr:sp>
    <xdr:clientData/>
  </xdr:twoCellAnchor>
  <xdr:twoCellAnchor>
    <xdr:from>
      <xdr:col>19</xdr:col>
      <xdr:colOff>0</xdr:colOff>
      <xdr:row>26</xdr:row>
      <xdr:rowOff>66675</xdr:rowOff>
    </xdr:from>
    <xdr:to>
      <xdr:col>19</xdr:col>
      <xdr:colOff>0</xdr:colOff>
      <xdr:row>29</xdr:row>
      <xdr:rowOff>66675</xdr:rowOff>
    </xdr:to>
    <xdr:cxnSp macro="">
      <xdr:nvCxnSpPr>
        <xdr:cNvPr id="81" name="lin_Splitter 2_44">
          <a:extLst>
            <a:ext uri="{FF2B5EF4-FFF2-40B4-BE49-F238E27FC236}">
              <a16:creationId xmlns:a16="http://schemas.microsoft.com/office/drawing/2014/main" id="{58BCD5FC-1B4E-EE0F-50A6-D5D5DDEF0323}"/>
            </a:ext>
          </a:extLst>
        </xdr:cNvPr>
        <xdr:cNvCxnSpPr/>
      </xdr:nvCxnSpPr>
      <xdr:spPr>
        <a:xfrm>
          <a:off x="11582400" y="506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587419</xdr:colOff>
      <xdr:row>30</xdr:row>
      <xdr:rowOff>66675</xdr:rowOff>
    </xdr:from>
    <xdr:to>
      <xdr:col>18</xdr:col>
      <xdr:colOff>22181</xdr:colOff>
      <xdr:row>32</xdr:row>
      <xdr:rowOff>30128</xdr:rowOff>
    </xdr:to>
    <xdr:sp macro="" textlink="">
      <xdr:nvSpPr>
        <xdr:cNvPr id="84" name="Rectangle 83">
          <a:extLst>
            <a:ext uri="{FF2B5EF4-FFF2-40B4-BE49-F238E27FC236}">
              <a16:creationId xmlns:a16="http://schemas.microsoft.com/office/drawing/2014/main" id="{5E6BD63D-7E8B-1423-B598-5C6CADC5E1D6}"/>
            </a:ext>
          </a:extLst>
        </xdr:cNvPr>
        <xdr:cNvSpPr/>
      </xdr:nvSpPr>
      <xdr:spPr>
        <a:xfrm>
          <a:off x="10341019" y="582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-21.42dBm</a:t>
          </a:r>
        </a:p>
      </xdr:txBody>
    </xdr:sp>
    <xdr:clientData/>
  </xdr:twoCellAnchor>
  <xdr:twoCellAnchor>
    <xdr:from>
      <xdr:col>18</xdr:col>
      <xdr:colOff>22182</xdr:colOff>
      <xdr:row>30</xdr:row>
      <xdr:rowOff>66675</xdr:rowOff>
    </xdr:from>
    <xdr:to>
      <xdr:col>18</xdr:col>
      <xdr:colOff>419100</xdr:colOff>
      <xdr:row>30</xdr:row>
      <xdr:rowOff>66675</xdr:rowOff>
    </xdr:to>
    <xdr:cxnSp macro="">
      <xdr:nvCxnSpPr>
        <xdr:cNvPr id="85" name="Straight Arrow Connector 84">
          <a:extLst>
            <a:ext uri="{FF2B5EF4-FFF2-40B4-BE49-F238E27FC236}">
              <a16:creationId xmlns:a16="http://schemas.microsoft.com/office/drawing/2014/main" id="{5ADA9605-F2FB-4B78-4415-37511495D37B}"/>
            </a:ext>
          </a:extLst>
        </xdr:cNvPr>
        <xdr:cNvCxnSpPr/>
      </xdr:nvCxnSpPr>
      <xdr:spPr>
        <a:xfrm>
          <a:off x="10994982" y="5829300"/>
          <a:ext cx="396918"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419100</xdr:colOff>
      <xdr:row>34</xdr:row>
      <xdr:rowOff>66675</xdr:rowOff>
    </xdr:from>
    <xdr:to>
      <xdr:col>19</xdr:col>
      <xdr:colOff>190500</xdr:colOff>
      <xdr:row>36</xdr:row>
      <xdr:rowOff>66675</xdr:rowOff>
    </xdr:to>
    <xdr:sp macro="" textlink="">
      <xdr:nvSpPr>
        <xdr:cNvPr id="86" name="sym_Splitter 2_45">
          <a:extLst>
            <a:ext uri="{FF2B5EF4-FFF2-40B4-BE49-F238E27FC236}">
              <a16:creationId xmlns:a16="http://schemas.microsoft.com/office/drawing/2014/main" id="{6923FE27-F020-E11D-256C-6B58CDBC2E62}"/>
            </a:ext>
          </a:extLst>
        </xdr:cNvPr>
        <xdr:cNvSpPr/>
      </xdr:nvSpPr>
      <xdr:spPr>
        <a:xfrm>
          <a:off x="11391900" y="659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3</a:t>
          </a:r>
        </a:p>
      </xdr:txBody>
    </xdr:sp>
    <xdr:clientData/>
  </xdr:twoCellAnchor>
  <xdr:twoCellAnchor>
    <xdr:from>
      <xdr:col>19</xdr:col>
      <xdr:colOff>0</xdr:colOff>
      <xdr:row>31</xdr:row>
      <xdr:rowOff>66675</xdr:rowOff>
    </xdr:from>
    <xdr:to>
      <xdr:col>19</xdr:col>
      <xdr:colOff>0</xdr:colOff>
      <xdr:row>34</xdr:row>
      <xdr:rowOff>66675</xdr:rowOff>
    </xdr:to>
    <xdr:cxnSp macro="">
      <xdr:nvCxnSpPr>
        <xdr:cNvPr id="87" name="lin_Splitter 2_45">
          <a:extLst>
            <a:ext uri="{FF2B5EF4-FFF2-40B4-BE49-F238E27FC236}">
              <a16:creationId xmlns:a16="http://schemas.microsoft.com/office/drawing/2014/main" id="{B5EA7B52-281B-723B-459A-28446C38472E}"/>
            </a:ext>
          </a:extLst>
        </xdr:cNvPr>
        <xdr:cNvCxnSpPr/>
      </xdr:nvCxnSpPr>
      <xdr:spPr>
        <a:xfrm>
          <a:off x="11582400" y="6019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587419</xdr:colOff>
      <xdr:row>35</xdr:row>
      <xdr:rowOff>66675</xdr:rowOff>
    </xdr:from>
    <xdr:to>
      <xdr:col>18</xdr:col>
      <xdr:colOff>22181</xdr:colOff>
      <xdr:row>37</xdr:row>
      <xdr:rowOff>30128</xdr:rowOff>
    </xdr:to>
    <xdr:sp macro="" textlink="">
      <xdr:nvSpPr>
        <xdr:cNvPr id="90" name="Rectangle 89">
          <a:extLst>
            <a:ext uri="{FF2B5EF4-FFF2-40B4-BE49-F238E27FC236}">
              <a16:creationId xmlns:a16="http://schemas.microsoft.com/office/drawing/2014/main" id="{BC5EAE7F-6053-F37D-8842-9F6D04B9BB66}"/>
            </a:ext>
          </a:extLst>
        </xdr:cNvPr>
        <xdr:cNvSpPr/>
      </xdr:nvSpPr>
      <xdr:spPr>
        <a:xfrm>
          <a:off x="10341019" y="6781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-21.53dBm</a:t>
          </a:r>
        </a:p>
      </xdr:txBody>
    </xdr:sp>
    <xdr:clientData/>
  </xdr:twoCellAnchor>
  <xdr:twoCellAnchor>
    <xdr:from>
      <xdr:col>18</xdr:col>
      <xdr:colOff>22182</xdr:colOff>
      <xdr:row>35</xdr:row>
      <xdr:rowOff>66675</xdr:rowOff>
    </xdr:from>
    <xdr:to>
      <xdr:col>18</xdr:col>
      <xdr:colOff>419100</xdr:colOff>
      <xdr:row>35</xdr:row>
      <xdr:rowOff>66675</xdr:rowOff>
    </xdr:to>
    <xdr:cxnSp macro="">
      <xdr:nvCxnSpPr>
        <xdr:cNvPr id="91" name="Straight Arrow Connector 90">
          <a:extLst>
            <a:ext uri="{FF2B5EF4-FFF2-40B4-BE49-F238E27FC236}">
              <a16:creationId xmlns:a16="http://schemas.microsoft.com/office/drawing/2014/main" id="{C3032C66-D52C-41B4-CCC2-D8AC3129875D}"/>
            </a:ext>
          </a:extLst>
        </xdr:cNvPr>
        <xdr:cNvCxnSpPr/>
      </xdr:nvCxnSpPr>
      <xdr:spPr>
        <a:xfrm>
          <a:off x="10994982" y="6781800"/>
          <a:ext cx="396918"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419100</xdr:colOff>
      <xdr:row>39</xdr:row>
      <xdr:rowOff>66675</xdr:rowOff>
    </xdr:from>
    <xdr:to>
      <xdr:col>19</xdr:col>
      <xdr:colOff>190500</xdr:colOff>
      <xdr:row>41</xdr:row>
      <xdr:rowOff>66675</xdr:rowOff>
    </xdr:to>
    <xdr:sp macro="" textlink="">
      <xdr:nvSpPr>
        <xdr:cNvPr id="92" name="sym_Splitter 2_46">
          <a:extLst>
            <a:ext uri="{FF2B5EF4-FFF2-40B4-BE49-F238E27FC236}">
              <a16:creationId xmlns:a16="http://schemas.microsoft.com/office/drawing/2014/main" id="{3FF99DD2-B84F-5D33-1738-D0973F77966F}"/>
            </a:ext>
          </a:extLst>
        </xdr:cNvPr>
        <xdr:cNvSpPr/>
      </xdr:nvSpPr>
      <xdr:spPr>
        <a:xfrm>
          <a:off x="11391900" y="754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4</a:t>
          </a:r>
        </a:p>
      </xdr:txBody>
    </xdr:sp>
    <xdr:clientData/>
  </xdr:twoCellAnchor>
  <xdr:twoCellAnchor>
    <xdr:from>
      <xdr:col>19</xdr:col>
      <xdr:colOff>0</xdr:colOff>
      <xdr:row>36</xdr:row>
      <xdr:rowOff>66675</xdr:rowOff>
    </xdr:from>
    <xdr:to>
      <xdr:col>19</xdr:col>
      <xdr:colOff>0</xdr:colOff>
      <xdr:row>39</xdr:row>
      <xdr:rowOff>66675</xdr:rowOff>
    </xdr:to>
    <xdr:cxnSp macro="">
      <xdr:nvCxnSpPr>
        <xdr:cNvPr id="93" name="lin_Splitter 2_46">
          <a:extLst>
            <a:ext uri="{FF2B5EF4-FFF2-40B4-BE49-F238E27FC236}">
              <a16:creationId xmlns:a16="http://schemas.microsoft.com/office/drawing/2014/main" id="{74EAEEBB-592A-4D5A-E9F9-49D914A20FDC}"/>
            </a:ext>
          </a:extLst>
        </xdr:cNvPr>
        <xdr:cNvCxnSpPr/>
      </xdr:nvCxnSpPr>
      <xdr:spPr>
        <a:xfrm>
          <a:off x="11582400" y="697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419100</xdr:colOff>
      <xdr:row>44</xdr:row>
      <xdr:rowOff>66675</xdr:rowOff>
    </xdr:from>
    <xdr:to>
      <xdr:col>19</xdr:col>
      <xdr:colOff>190500</xdr:colOff>
      <xdr:row>46</xdr:row>
      <xdr:rowOff>66675</xdr:rowOff>
    </xdr:to>
    <xdr:sp macro="" textlink="">
      <xdr:nvSpPr>
        <xdr:cNvPr id="96" name="sym_Splitter 2_47">
          <a:extLst>
            <a:ext uri="{FF2B5EF4-FFF2-40B4-BE49-F238E27FC236}">
              <a16:creationId xmlns:a16="http://schemas.microsoft.com/office/drawing/2014/main" id="{82D5D56E-913C-7E25-3338-02B1F80A8456}"/>
            </a:ext>
          </a:extLst>
        </xdr:cNvPr>
        <xdr:cNvSpPr/>
      </xdr:nvSpPr>
      <xdr:spPr>
        <a:xfrm>
          <a:off x="11391900" y="849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5</a:t>
          </a:r>
        </a:p>
      </xdr:txBody>
    </xdr:sp>
    <xdr:clientData/>
  </xdr:twoCellAnchor>
  <xdr:twoCellAnchor>
    <xdr:from>
      <xdr:col>19</xdr:col>
      <xdr:colOff>0</xdr:colOff>
      <xdr:row>41</xdr:row>
      <xdr:rowOff>66675</xdr:rowOff>
    </xdr:from>
    <xdr:to>
      <xdr:col>19</xdr:col>
      <xdr:colOff>0</xdr:colOff>
      <xdr:row>44</xdr:row>
      <xdr:rowOff>66675</xdr:rowOff>
    </xdr:to>
    <xdr:cxnSp macro="">
      <xdr:nvCxnSpPr>
        <xdr:cNvPr id="97" name="lin_Splitter 2_47">
          <a:extLst>
            <a:ext uri="{FF2B5EF4-FFF2-40B4-BE49-F238E27FC236}">
              <a16:creationId xmlns:a16="http://schemas.microsoft.com/office/drawing/2014/main" id="{24DB569E-D73A-246C-433E-0B3264F8AAB5}"/>
            </a:ext>
          </a:extLst>
        </xdr:cNvPr>
        <xdr:cNvCxnSpPr/>
      </xdr:nvCxnSpPr>
      <xdr:spPr>
        <a:xfrm>
          <a:off x="11582400" y="7924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587419</xdr:colOff>
      <xdr:row>45</xdr:row>
      <xdr:rowOff>66675</xdr:rowOff>
    </xdr:from>
    <xdr:to>
      <xdr:col>18</xdr:col>
      <xdr:colOff>22181</xdr:colOff>
      <xdr:row>47</xdr:row>
      <xdr:rowOff>30128</xdr:rowOff>
    </xdr:to>
    <xdr:sp macro="" textlink="">
      <xdr:nvSpPr>
        <xdr:cNvPr id="100" name="Rectangle 99">
          <a:extLst>
            <a:ext uri="{FF2B5EF4-FFF2-40B4-BE49-F238E27FC236}">
              <a16:creationId xmlns:a16="http://schemas.microsoft.com/office/drawing/2014/main" id="{1EAFE724-8AB1-4B48-C0AF-E1BFD268B331}"/>
            </a:ext>
          </a:extLst>
        </xdr:cNvPr>
        <xdr:cNvSpPr/>
      </xdr:nvSpPr>
      <xdr:spPr>
        <a:xfrm>
          <a:off x="10341019" y="8686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-18.27dBm</a:t>
          </a:r>
        </a:p>
      </xdr:txBody>
    </xdr:sp>
    <xdr:clientData/>
  </xdr:twoCellAnchor>
  <xdr:twoCellAnchor>
    <xdr:from>
      <xdr:col>18</xdr:col>
      <xdr:colOff>22182</xdr:colOff>
      <xdr:row>45</xdr:row>
      <xdr:rowOff>66675</xdr:rowOff>
    </xdr:from>
    <xdr:to>
      <xdr:col>18</xdr:col>
      <xdr:colOff>419100</xdr:colOff>
      <xdr:row>45</xdr:row>
      <xdr:rowOff>66675</xdr:rowOff>
    </xdr:to>
    <xdr:cxnSp macro="">
      <xdr:nvCxnSpPr>
        <xdr:cNvPr id="101" name="Straight Arrow Connector 100">
          <a:extLst>
            <a:ext uri="{FF2B5EF4-FFF2-40B4-BE49-F238E27FC236}">
              <a16:creationId xmlns:a16="http://schemas.microsoft.com/office/drawing/2014/main" id="{C6509E3B-4E69-6174-682E-8D4FF041B745}"/>
            </a:ext>
          </a:extLst>
        </xdr:cNvPr>
        <xdr:cNvCxnSpPr/>
      </xdr:nvCxnSpPr>
      <xdr:spPr>
        <a:xfrm>
          <a:off x="10994982" y="8686800"/>
          <a:ext cx="396918"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419100</xdr:colOff>
      <xdr:row>49</xdr:row>
      <xdr:rowOff>66675</xdr:rowOff>
    </xdr:from>
    <xdr:to>
      <xdr:col>19</xdr:col>
      <xdr:colOff>190500</xdr:colOff>
      <xdr:row>51</xdr:row>
      <xdr:rowOff>66675</xdr:rowOff>
    </xdr:to>
    <xdr:sp macro="" textlink="">
      <xdr:nvSpPr>
        <xdr:cNvPr id="102" name="sym_Splitter 2_48">
          <a:extLst>
            <a:ext uri="{FF2B5EF4-FFF2-40B4-BE49-F238E27FC236}">
              <a16:creationId xmlns:a16="http://schemas.microsoft.com/office/drawing/2014/main" id="{C0862FC9-4DE6-740B-EF0B-2015BA84DC99}"/>
            </a:ext>
          </a:extLst>
        </xdr:cNvPr>
        <xdr:cNvSpPr/>
      </xdr:nvSpPr>
      <xdr:spPr>
        <a:xfrm>
          <a:off x="11391900" y="944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6</a:t>
          </a:r>
        </a:p>
      </xdr:txBody>
    </xdr:sp>
    <xdr:clientData/>
  </xdr:twoCellAnchor>
  <xdr:twoCellAnchor>
    <xdr:from>
      <xdr:col>19</xdr:col>
      <xdr:colOff>0</xdr:colOff>
      <xdr:row>46</xdr:row>
      <xdr:rowOff>66675</xdr:rowOff>
    </xdr:from>
    <xdr:to>
      <xdr:col>19</xdr:col>
      <xdr:colOff>0</xdr:colOff>
      <xdr:row>49</xdr:row>
      <xdr:rowOff>66675</xdr:rowOff>
    </xdr:to>
    <xdr:cxnSp macro="">
      <xdr:nvCxnSpPr>
        <xdr:cNvPr id="103" name="lin_Splitter 2_48">
          <a:extLst>
            <a:ext uri="{FF2B5EF4-FFF2-40B4-BE49-F238E27FC236}">
              <a16:creationId xmlns:a16="http://schemas.microsoft.com/office/drawing/2014/main" id="{6C48A721-C185-A81D-FCA9-CC337255A636}"/>
            </a:ext>
          </a:extLst>
        </xdr:cNvPr>
        <xdr:cNvCxnSpPr/>
      </xdr:nvCxnSpPr>
      <xdr:spPr>
        <a:xfrm>
          <a:off x="11582400" y="887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587419</xdr:colOff>
      <xdr:row>50</xdr:row>
      <xdr:rowOff>66675</xdr:rowOff>
    </xdr:from>
    <xdr:to>
      <xdr:col>18</xdr:col>
      <xdr:colOff>22181</xdr:colOff>
      <xdr:row>52</xdr:row>
      <xdr:rowOff>30128</xdr:rowOff>
    </xdr:to>
    <xdr:sp macro="" textlink="">
      <xdr:nvSpPr>
        <xdr:cNvPr id="106" name="Rectangle 105">
          <a:extLst>
            <a:ext uri="{FF2B5EF4-FFF2-40B4-BE49-F238E27FC236}">
              <a16:creationId xmlns:a16="http://schemas.microsoft.com/office/drawing/2014/main" id="{233BD3A3-25D4-5F2C-37DD-57ADC7249C71}"/>
            </a:ext>
          </a:extLst>
        </xdr:cNvPr>
        <xdr:cNvSpPr/>
      </xdr:nvSpPr>
      <xdr:spPr>
        <a:xfrm>
          <a:off x="10341019" y="963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-18.36dBm</a:t>
          </a:r>
        </a:p>
      </xdr:txBody>
    </xdr:sp>
    <xdr:clientData/>
  </xdr:twoCellAnchor>
  <xdr:twoCellAnchor>
    <xdr:from>
      <xdr:col>18</xdr:col>
      <xdr:colOff>22182</xdr:colOff>
      <xdr:row>50</xdr:row>
      <xdr:rowOff>66675</xdr:rowOff>
    </xdr:from>
    <xdr:to>
      <xdr:col>18</xdr:col>
      <xdr:colOff>419100</xdr:colOff>
      <xdr:row>50</xdr:row>
      <xdr:rowOff>66675</xdr:rowOff>
    </xdr:to>
    <xdr:cxnSp macro="">
      <xdr:nvCxnSpPr>
        <xdr:cNvPr id="107" name="Straight Arrow Connector 106">
          <a:extLst>
            <a:ext uri="{FF2B5EF4-FFF2-40B4-BE49-F238E27FC236}">
              <a16:creationId xmlns:a16="http://schemas.microsoft.com/office/drawing/2014/main" id="{F5A17009-6F4A-34C7-9E91-11AA498EB710}"/>
            </a:ext>
          </a:extLst>
        </xdr:cNvPr>
        <xdr:cNvCxnSpPr/>
      </xdr:nvCxnSpPr>
      <xdr:spPr>
        <a:xfrm>
          <a:off x="10994982" y="9639300"/>
          <a:ext cx="396918"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419100</xdr:colOff>
      <xdr:row>54</xdr:row>
      <xdr:rowOff>66675</xdr:rowOff>
    </xdr:from>
    <xdr:to>
      <xdr:col>19</xdr:col>
      <xdr:colOff>190500</xdr:colOff>
      <xdr:row>56</xdr:row>
      <xdr:rowOff>66675</xdr:rowOff>
    </xdr:to>
    <xdr:sp macro="" textlink="">
      <xdr:nvSpPr>
        <xdr:cNvPr id="108" name="sym_Splitter 2_49">
          <a:extLst>
            <a:ext uri="{FF2B5EF4-FFF2-40B4-BE49-F238E27FC236}">
              <a16:creationId xmlns:a16="http://schemas.microsoft.com/office/drawing/2014/main" id="{96267B29-6DA0-B28E-5EAC-67FFA5E6BD62}"/>
            </a:ext>
          </a:extLst>
        </xdr:cNvPr>
        <xdr:cNvSpPr/>
      </xdr:nvSpPr>
      <xdr:spPr>
        <a:xfrm>
          <a:off x="11391900" y="1040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7</a:t>
          </a:r>
        </a:p>
      </xdr:txBody>
    </xdr:sp>
    <xdr:clientData/>
  </xdr:twoCellAnchor>
  <xdr:twoCellAnchor>
    <xdr:from>
      <xdr:col>19</xdr:col>
      <xdr:colOff>0</xdr:colOff>
      <xdr:row>51</xdr:row>
      <xdr:rowOff>66675</xdr:rowOff>
    </xdr:from>
    <xdr:to>
      <xdr:col>19</xdr:col>
      <xdr:colOff>0</xdr:colOff>
      <xdr:row>54</xdr:row>
      <xdr:rowOff>66675</xdr:rowOff>
    </xdr:to>
    <xdr:cxnSp macro="">
      <xdr:nvCxnSpPr>
        <xdr:cNvPr id="109" name="lin_Splitter 2_49">
          <a:extLst>
            <a:ext uri="{FF2B5EF4-FFF2-40B4-BE49-F238E27FC236}">
              <a16:creationId xmlns:a16="http://schemas.microsoft.com/office/drawing/2014/main" id="{51A09016-3B82-60A9-5D40-AC2EC89343D6}"/>
            </a:ext>
          </a:extLst>
        </xdr:cNvPr>
        <xdr:cNvCxnSpPr/>
      </xdr:nvCxnSpPr>
      <xdr:spPr>
        <a:xfrm>
          <a:off x="11582400" y="9829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587419</xdr:colOff>
      <xdr:row>55</xdr:row>
      <xdr:rowOff>66675</xdr:rowOff>
    </xdr:from>
    <xdr:to>
      <xdr:col>18</xdr:col>
      <xdr:colOff>22181</xdr:colOff>
      <xdr:row>57</xdr:row>
      <xdr:rowOff>30128</xdr:rowOff>
    </xdr:to>
    <xdr:sp macro="" textlink="">
      <xdr:nvSpPr>
        <xdr:cNvPr id="112" name="Rectangle 111">
          <a:extLst>
            <a:ext uri="{FF2B5EF4-FFF2-40B4-BE49-F238E27FC236}">
              <a16:creationId xmlns:a16="http://schemas.microsoft.com/office/drawing/2014/main" id="{A01A5D42-F560-1185-DA01-C71DD3B318E4}"/>
            </a:ext>
          </a:extLst>
        </xdr:cNvPr>
        <xdr:cNvSpPr/>
      </xdr:nvSpPr>
      <xdr:spPr>
        <a:xfrm>
          <a:off x="10341019" y="10591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-18.46dBm</a:t>
          </a:r>
        </a:p>
      </xdr:txBody>
    </xdr:sp>
    <xdr:clientData/>
  </xdr:twoCellAnchor>
  <xdr:twoCellAnchor>
    <xdr:from>
      <xdr:col>18</xdr:col>
      <xdr:colOff>22182</xdr:colOff>
      <xdr:row>55</xdr:row>
      <xdr:rowOff>66675</xdr:rowOff>
    </xdr:from>
    <xdr:to>
      <xdr:col>18</xdr:col>
      <xdr:colOff>419100</xdr:colOff>
      <xdr:row>55</xdr:row>
      <xdr:rowOff>66675</xdr:rowOff>
    </xdr:to>
    <xdr:cxnSp macro="">
      <xdr:nvCxnSpPr>
        <xdr:cNvPr id="113" name="Straight Arrow Connector 112">
          <a:extLst>
            <a:ext uri="{FF2B5EF4-FFF2-40B4-BE49-F238E27FC236}">
              <a16:creationId xmlns:a16="http://schemas.microsoft.com/office/drawing/2014/main" id="{33E1D32E-0B32-413A-DA30-86715F467737}"/>
            </a:ext>
          </a:extLst>
        </xdr:cNvPr>
        <xdr:cNvCxnSpPr/>
      </xdr:nvCxnSpPr>
      <xdr:spPr>
        <a:xfrm>
          <a:off x="10994982" y="10591800"/>
          <a:ext cx="396918"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190500</xdr:colOff>
      <xdr:row>30</xdr:row>
      <xdr:rowOff>66675</xdr:rowOff>
    </xdr:from>
    <xdr:to>
      <xdr:col>24</xdr:col>
      <xdr:colOff>304800</xdr:colOff>
      <xdr:row>30</xdr:row>
      <xdr:rowOff>66675</xdr:rowOff>
    </xdr:to>
    <xdr:cxnSp macro="">
      <xdr:nvCxnSpPr>
        <xdr:cNvPr id="114" name="Straight Arrow Connector 113">
          <a:extLst>
            <a:ext uri="{FF2B5EF4-FFF2-40B4-BE49-F238E27FC236}">
              <a16:creationId xmlns:a16="http://schemas.microsoft.com/office/drawing/2014/main" id="{79933530-E5A4-1767-8E31-FB943EAB4A2D}"/>
            </a:ext>
          </a:extLst>
        </xdr:cNvPr>
        <xdr:cNvCxnSpPr/>
      </xdr:nvCxnSpPr>
      <xdr:spPr>
        <a:xfrm>
          <a:off x="11772900" y="5829300"/>
          <a:ext cx="31623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114300</xdr:colOff>
      <xdr:row>34</xdr:row>
      <xdr:rowOff>66675</xdr:rowOff>
    </xdr:from>
    <xdr:to>
      <xdr:col>24</xdr:col>
      <xdr:colOff>495300</xdr:colOff>
      <xdr:row>36</xdr:row>
      <xdr:rowOff>66675</xdr:rowOff>
    </xdr:to>
    <xdr:sp macro="" textlink="">
      <xdr:nvSpPr>
        <xdr:cNvPr id="116" name="sym_Splitter 2_77" descr="Splitter 2~44">
          <a:extLst>
            <a:ext uri="{FF2B5EF4-FFF2-40B4-BE49-F238E27FC236}">
              <a16:creationId xmlns:a16="http://schemas.microsoft.com/office/drawing/2014/main" id="{69BE57B2-2A4A-ECFA-8DEE-6CAC03AFA20E}"/>
            </a:ext>
          </a:extLst>
        </xdr:cNvPr>
        <xdr:cNvSpPr/>
      </xdr:nvSpPr>
      <xdr:spPr>
        <a:xfrm>
          <a:off x="14744700" y="659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24</xdr:col>
      <xdr:colOff>304800</xdr:colOff>
      <xdr:row>30</xdr:row>
      <xdr:rowOff>66675</xdr:rowOff>
    </xdr:from>
    <xdr:to>
      <xdr:col>24</xdr:col>
      <xdr:colOff>304800</xdr:colOff>
      <xdr:row>34</xdr:row>
      <xdr:rowOff>66675</xdr:rowOff>
    </xdr:to>
    <xdr:cxnSp macro="">
      <xdr:nvCxnSpPr>
        <xdr:cNvPr id="117" name="lin_Splitter 2_77">
          <a:extLst>
            <a:ext uri="{FF2B5EF4-FFF2-40B4-BE49-F238E27FC236}">
              <a16:creationId xmlns:a16="http://schemas.microsoft.com/office/drawing/2014/main" id="{EE35EE9F-0593-4395-28D0-61B165C9E7F8}"/>
            </a:ext>
          </a:extLst>
        </xdr:cNvPr>
        <xdr:cNvCxnSpPr/>
      </xdr:nvCxnSpPr>
      <xdr:spPr>
        <a:xfrm>
          <a:off x="14935200" y="5829300"/>
          <a:ext cx="0" cy="7620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282619</xdr:colOff>
      <xdr:row>35</xdr:row>
      <xdr:rowOff>66675</xdr:rowOff>
    </xdr:from>
    <xdr:to>
      <xdr:col>23</xdr:col>
      <xdr:colOff>326981</xdr:colOff>
      <xdr:row>37</xdr:row>
      <xdr:rowOff>30128</xdr:rowOff>
    </xdr:to>
    <xdr:sp macro="" textlink="">
      <xdr:nvSpPr>
        <xdr:cNvPr id="120" name="Rectangle 119">
          <a:extLst>
            <a:ext uri="{FF2B5EF4-FFF2-40B4-BE49-F238E27FC236}">
              <a16:creationId xmlns:a16="http://schemas.microsoft.com/office/drawing/2014/main" id="{FA908F27-F36A-12C7-3140-4F0CF1256475}"/>
            </a:ext>
          </a:extLst>
        </xdr:cNvPr>
        <xdr:cNvSpPr/>
      </xdr:nvSpPr>
      <xdr:spPr>
        <a:xfrm>
          <a:off x="13693819" y="6781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-21.88dBm</a:t>
          </a:r>
        </a:p>
      </xdr:txBody>
    </xdr:sp>
    <xdr:clientData/>
  </xdr:twoCellAnchor>
  <xdr:twoCellAnchor>
    <xdr:from>
      <xdr:col>23</xdr:col>
      <xdr:colOff>326980</xdr:colOff>
      <xdr:row>35</xdr:row>
      <xdr:rowOff>66675</xdr:rowOff>
    </xdr:from>
    <xdr:to>
      <xdr:col>24</xdr:col>
      <xdr:colOff>114300</xdr:colOff>
      <xdr:row>35</xdr:row>
      <xdr:rowOff>66675</xdr:rowOff>
    </xdr:to>
    <xdr:cxnSp macro="">
      <xdr:nvCxnSpPr>
        <xdr:cNvPr id="121" name="Straight Arrow Connector 120">
          <a:extLst>
            <a:ext uri="{FF2B5EF4-FFF2-40B4-BE49-F238E27FC236}">
              <a16:creationId xmlns:a16="http://schemas.microsoft.com/office/drawing/2014/main" id="{86F51DC5-4F5C-E776-B29F-1D769EF8E634}"/>
            </a:ext>
          </a:extLst>
        </xdr:cNvPr>
        <xdr:cNvCxnSpPr/>
      </xdr:nvCxnSpPr>
      <xdr:spPr>
        <a:xfrm>
          <a:off x="14347780" y="6781800"/>
          <a:ext cx="39692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114300</xdr:colOff>
      <xdr:row>39</xdr:row>
      <xdr:rowOff>66675</xdr:rowOff>
    </xdr:from>
    <xdr:to>
      <xdr:col>24</xdr:col>
      <xdr:colOff>495300</xdr:colOff>
      <xdr:row>41</xdr:row>
      <xdr:rowOff>66675</xdr:rowOff>
    </xdr:to>
    <xdr:sp macro="" textlink="">
      <xdr:nvSpPr>
        <xdr:cNvPr id="122" name="sym_Splitter 2_78">
          <a:extLst>
            <a:ext uri="{FF2B5EF4-FFF2-40B4-BE49-F238E27FC236}">
              <a16:creationId xmlns:a16="http://schemas.microsoft.com/office/drawing/2014/main" id="{4F026BE1-DAAB-297A-6E30-9A0E3C022BA8}"/>
            </a:ext>
          </a:extLst>
        </xdr:cNvPr>
        <xdr:cNvSpPr/>
      </xdr:nvSpPr>
      <xdr:spPr>
        <a:xfrm>
          <a:off x="14744700" y="754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2</a:t>
          </a:r>
        </a:p>
      </xdr:txBody>
    </xdr:sp>
    <xdr:clientData/>
  </xdr:twoCellAnchor>
  <xdr:twoCellAnchor>
    <xdr:from>
      <xdr:col>24</xdr:col>
      <xdr:colOff>304800</xdr:colOff>
      <xdr:row>36</xdr:row>
      <xdr:rowOff>66675</xdr:rowOff>
    </xdr:from>
    <xdr:to>
      <xdr:col>24</xdr:col>
      <xdr:colOff>304800</xdr:colOff>
      <xdr:row>39</xdr:row>
      <xdr:rowOff>66675</xdr:rowOff>
    </xdr:to>
    <xdr:cxnSp macro="">
      <xdr:nvCxnSpPr>
        <xdr:cNvPr id="123" name="lin_Splitter 2_78">
          <a:extLst>
            <a:ext uri="{FF2B5EF4-FFF2-40B4-BE49-F238E27FC236}">
              <a16:creationId xmlns:a16="http://schemas.microsoft.com/office/drawing/2014/main" id="{7D50940B-0C5E-7295-237A-7A3AD196DF7D}"/>
            </a:ext>
          </a:extLst>
        </xdr:cNvPr>
        <xdr:cNvCxnSpPr/>
      </xdr:nvCxnSpPr>
      <xdr:spPr>
        <a:xfrm>
          <a:off x="14935200" y="697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282619</xdr:colOff>
      <xdr:row>40</xdr:row>
      <xdr:rowOff>66675</xdr:rowOff>
    </xdr:from>
    <xdr:to>
      <xdr:col>23</xdr:col>
      <xdr:colOff>326981</xdr:colOff>
      <xdr:row>42</xdr:row>
      <xdr:rowOff>30128</xdr:rowOff>
    </xdr:to>
    <xdr:sp macro="" textlink="">
      <xdr:nvSpPr>
        <xdr:cNvPr id="126" name="Rectangle 125">
          <a:extLst>
            <a:ext uri="{FF2B5EF4-FFF2-40B4-BE49-F238E27FC236}">
              <a16:creationId xmlns:a16="http://schemas.microsoft.com/office/drawing/2014/main" id="{91A71913-A798-AA41-A877-467C96D9519B}"/>
            </a:ext>
          </a:extLst>
        </xdr:cNvPr>
        <xdr:cNvSpPr/>
      </xdr:nvSpPr>
      <xdr:spPr>
        <a:xfrm>
          <a:off x="13693819" y="7734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-18.63dBm</a:t>
          </a:r>
        </a:p>
      </xdr:txBody>
    </xdr:sp>
    <xdr:clientData/>
  </xdr:twoCellAnchor>
  <xdr:twoCellAnchor>
    <xdr:from>
      <xdr:col>23</xdr:col>
      <xdr:colOff>326980</xdr:colOff>
      <xdr:row>40</xdr:row>
      <xdr:rowOff>66675</xdr:rowOff>
    </xdr:from>
    <xdr:to>
      <xdr:col>24</xdr:col>
      <xdr:colOff>114300</xdr:colOff>
      <xdr:row>40</xdr:row>
      <xdr:rowOff>66675</xdr:rowOff>
    </xdr:to>
    <xdr:cxnSp macro="">
      <xdr:nvCxnSpPr>
        <xdr:cNvPr id="127" name="Straight Arrow Connector 126">
          <a:extLst>
            <a:ext uri="{FF2B5EF4-FFF2-40B4-BE49-F238E27FC236}">
              <a16:creationId xmlns:a16="http://schemas.microsoft.com/office/drawing/2014/main" id="{F19DDDC4-6583-B760-B77A-0FE14670624B}"/>
            </a:ext>
          </a:extLst>
        </xdr:cNvPr>
        <xdr:cNvCxnSpPr/>
      </xdr:nvCxnSpPr>
      <xdr:spPr>
        <a:xfrm>
          <a:off x="14347780" y="7734300"/>
          <a:ext cx="39692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114300</xdr:colOff>
      <xdr:row>44</xdr:row>
      <xdr:rowOff>66675</xdr:rowOff>
    </xdr:from>
    <xdr:to>
      <xdr:col>24</xdr:col>
      <xdr:colOff>495300</xdr:colOff>
      <xdr:row>46</xdr:row>
      <xdr:rowOff>66675</xdr:rowOff>
    </xdr:to>
    <xdr:sp macro="" textlink="">
      <xdr:nvSpPr>
        <xdr:cNvPr id="128" name="sym_Splitter 2_79">
          <a:extLst>
            <a:ext uri="{FF2B5EF4-FFF2-40B4-BE49-F238E27FC236}">
              <a16:creationId xmlns:a16="http://schemas.microsoft.com/office/drawing/2014/main" id="{EAD1C76C-E567-3E53-3B11-D2620B6B4C1C}"/>
            </a:ext>
          </a:extLst>
        </xdr:cNvPr>
        <xdr:cNvSpPr/>
      </xdr:nvSpPr>
      <xdr:spPr>
        <a:xfrm>
          <a:off x="14744700" y="849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3</a:t>
          </a:r>
        </a:p>
      </xdr:txBody>
    </xdr:sp>
    <xdr:clientData/>
  </xdr:twoCellAnchor>
  <xdr:twoCellAnchor>
    <xdr:from>
      <xdr:col>24</xdr:col>
      <xdr:colOff>304800</xdr:colOff>
      <xdr:row>41</xdr:row>
      <xdr:rowOff>66675</xdr:rowOff>
    </xdr:from>
    <xdr:to>
      <xdr:col>24</xdr:col>
      <xdr:colOff>304800</xdr:colOff>
      <xdr:row>44</xdr:row>
      <xdr:rowOff>66675</xdr:rowOff>
    </xdr:to>
    <xdr:cxnSp macro="">
      <xdr:nvCxnSpPr>
        <xdr:cNvPr id="129" name="lin_Splitter 2_79">
          <a:extLst>
            <a:ext uri="{FF2B5EF4-FFF2-40B4-BE49-F238E27FC236}">
              <a16:creationId xmlns:a16="http://schemas.microsoft.com/office/drawing/2014/main" id="{4F679AEA-1DC6-56EB-8809-84D37C51C6B6}"/>
            </a:ext>
          </a:extLst>
        </xdr:cNvPr>
        <xdr:cNvCxnSpPr/>
      </xdr:nvCxnSpPr>
      <xdr:spPr>
        <a:xfrm>
          <a:off x="14935200" y="7924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282619</xdr:colOff>
      <xdr:row>45</xdr:row>
      <xdr:rowOff>66675</xdr:rowOff>
    </xdr:from>
    <xdr:to>
      <xdr:col>23</xdr:col>
      <xdr:colOff>326981</xdr:colOff>
      <xdr:row>47</xdr:row>
      <xdr:rowOff>30128</xdr:rowOff>
    </xdr:to>
    <xdr:sp macro="" textlink="">
      <xdr:nvSpPr>
        <xdr:cNvPr id="132" name="Rectangle 131">
          <a:extLst>
            <a:ext uri="{FF2B5EF4-FFF2-40B4-BE49-F238E27FC236}">
              <a16:creationId xmlns:a16="http://schemas.microsoft.com/office/drawing/2014/main" id="{1C07EEB3-AD08-AF8E-EF45-EFDF3C1BAE9E}"/>
            </a:ext>
          </a:extLst>
        </xdr:cNvPr>
        <xdr:cNvSpPr/>
      </xdr:nvSpPr>
      <xdr:spPr>
        <a:xfrm>
          <a:off x="13693819" y="8686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-18.74dBm</a:t>
          </a:r>
        </a:p>
      </xdr:txBody>
    </xdr:sp>
    <xdr:clientData/>
  </xdr:twoCellAnchor>
  <xdr:twoCellAnchor>
    <xdr:from>
      <xdr:col>23</xdr:col>
      <xdr:colOff>326980</xdr:colOff>
      <xdr:row>45</xdr:row>
      <xdr:rowOff>66675</xdr:rowOff>
    </xdr:from>
    <xdr:to>
      <xdr:col>24</xdr:col>
      <xdr:colOff>114300</xdr:colOff>
      <xdr:row>45</xdr:row>
      <xdr:rowOff>66675</xdr:rowOff>
    </xdr:to>
    <xdr:cxnSp macro="">
      <xdr:nvCxnSpPr>
        <xdr:cNvPr id="133" name="Straight Arrow Connector 132">
          <a:extLst>
            <a:ext uri="{FF2B5EF4-FFF2-40B4-BE49-F238E27FC236}">
              <a16:creationId xmlns:a16="http://schemas.microsoft.com/office/drawing/2014/main" id="{60B07604-F02A-D903-A40F-6DDB81BB2264}"/>
            </a:ext>
          </a:extLst>
        </xdr:cNvPr>
        <xdr:cNvCxnSpPr/>
      </xdr:nvCxnSpPr>
      <xdr:spPr>
        <a:xfrm>
          <a:off x="14347780" y="8686800"/>
          <a:ext cx="39692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114300</xdr:colOff>
      <xdr:row>49</xdr:row>
      <xdr:rowOff>66675</xdr:rowOff>
    </xdr:from>
    <xdr:to>
      <xdr:col>24</xdr:col>
      <xdr:colOff>495300</xdr:colOff>
      <xdr:row>51</xdr:row>
      <xdr:rowOff>66675</xdr:rowOff>
    </xdr:to>
    <xdr:sp macro="" textlink="">
      <xdr:nvSpPr>
        <xdr:cNvPr id="134" name="sym_Splitter 2_80">
          <a:extLst>
            <a:ext uri="{FF2B5EF4-FFF2-40B4-BE49-F238E27FC236}">
              <a16:creationId xmlns:a16="http://schemas.microsoft.com/office/drawing/2014/main" id="{F1E3ABCB-E3C6-8D3A-99E8-749606638060}"/>
            </a:ext>
          </a:extLst>
        </xdr:cNvPr>
        <xdr:cNvSpPr/>
      </xdr:nvSpPr>
      <xdr:spPr>
        <a:xfrm>
          <a:off x="14744700" y="944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4</a:t>
          </a:r>
        </a:p>
      </xdr:txBody>
    </xdr:sp>
    <xdr:clientData/>
  </xdr:twoCellAnchor>
  <xdr:twoCellAnchor>
    <xdr:from>
      <xdr:col>24</xdr:col>
      <xdr:colOff>304800</xdr:colOff>
      <xdr:row>46</xdr:row>
      <xdr:rowOff>66675</xdr:rowOff>
    </xdr:from>
    <xdr:to>
      <xdr:col>24</xdr:col>
      <xdr:colOff>304800</xdr:colOff>
      <xdr:row>49</xdr:row>
      <xdr:rowOff>66675</xdr:rowOff>
    </xdr:to>
    <xdr:cxnSp macro="">
      <xdr:nvCxnSpPr>
        <xdr:cNvPr id="135" name="lin_Splitter 2_80">
          <a:extLst>
            <a:ext uri="{FF2B5EF4-FFF2-40B4-BE49-F238E27FC236}">
              <a16:creationId xmlns:a16="http://schemas.microsoft.com/office/drawing/2014/main" id="{C13D20AA-ACB2-DE0A-4AF7-550ABDA037A2}"/>
            </a:ext>
          </a:extLst>
        </xdr:cNvPr>
        <xdr:cNvCxnSpPr/>
      </xdr:nvCxnSpPr>
      <xdr:spPr>
        <a:xfrm>
          <a:off x="14935200" y="887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282619</xdr:colOff>
      <xdr:row>50</xdr:row>
      <xdr:rowOff>66675</xdr:rowOff>
    </xdr:from>
    <xdr:to>
      <xdr:col>23</xdr:col>
      <xdr:colOff>326981</xdr:colOff>
      <xdr:row>52</xdr:row>
      <xdr:rowOff>30128</xdr:rowOff>
    </xdr:to>
    <xdr:sp macro="" textlink="">
      <xdr:nvSpPr>
        <xdr:cNvPr id="138" name="Rectangle 137">
          <a:extLst>
            <a:ext uri="{FF2B5EF4-FFF2-40B4-BE49-F238E27FC236}">
              <a16:creationId xmlns:a16="http://schemas.microsoft.com/office/drawing/2014/main" id="{22776496-A80B-5D34-330E-AE541DD23F08}"/>
            </a:ext>
          </a:extLst>
        </xdr:cNvPr>
        <xdr:cNvSpPr/>
      </xdr:nvSpPr>
      <xdr:spPr>
        <a:xfrm>
          <a:off x="13693819" y="963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-22.31dBm</a:t>
          </a:r>
        </a:p>
      </xdr:txBody>
    </xdr:sp>
    <xdr:clientData/>
  </xdr:twoCellAnchor>
  <xdr:twoCellAnchor>
    <xdr:from>
      <xdr:col>23</xdr:col>
      <xdr:colOff>326980</xdr:colOff>
      <xdr:row>50</xdr:row>
      <xdr:rowOff>66675</xdr:rowOff>
    </xdr:from>
    <xdr:to>
      <xdr:col>24</xdr:col>
      <xdr:colOff>114300</xdr:colOff>
      <xdr:row>50</xdr:row>
      <xdr:rowOff>66675</xdr:rowOff>
    </xdr:to>
    <xdr:cxnSp macro="">
      <xdr:nvCxnSpPr>
        <xdr:cNvPr id="139" name="Straight Arrow Connector 138">
          <a:extLst>
            <a:ext uri="{FF2B5EF4-FFF2-40B4-BE49-F238E27FC236}">
              <a16:creationId xmlns:a16="http://schemas.microsoft.com/office/drawing/2014/main" id="{23B8F6DB-03E8-993B-CC27-1E536DCA80E0}"/>
            </a:ext>
          </a:extLst>
        </xdr:cNvPr>
        <xdr:cNvCxnSpPr/>
      </xdr:nvCxnSpPr>
      <xdr:spPr>
        <a:xfrm>
          <a:off x="14347780" y="9639300"/>
          <a:ext cx="39692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295275</xdr:colOff>
          <xdr:row>4</xdr:row>
          <xdr:rowOff>28575</xdr:rowOff>
        </xdr:from>
        <xdr:to>
          <xdr:col>5</xdr:col>
          <xdr:colOff>552450</xdr:colOff>
          <xdr:row>5</xdr:row>
          <xdr:rowOff>180975</xdr:rowOff>
        </xdr:to>
        <xdr:sp macro="" textlink="">
          <xdr:nvSpPr>
            <xdr:cNvPr id="51201" name="CommandButton1" hidden="1">
              <a:extLst>
                <a:ext uri="{63B3BB69-23CF-44E3-9099-C40C66FF867C}">
                  <a14:compatExt spid="_x0000_s51201"/>
                </a:ext>
                <a:ext uri="{FF2B5EF4-FFF2-40B4-BE49-F238E27FC236}">
                  <a16:creationId xmlns:a16="http://schemas.microsoft.com/office/drawing/2014/main" id="{B1A80310-E231-4526-9774-7F10685D599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19050</xdr:colOff>
      <xdr:row>0</xdr:row>
      <xdr:rowOff>0</xdr:rowOff>
    </xdr:from>
    <xdr:to>
      <xdr:col>2</xdr:col>
      <xdr:colOff>666750</xdr:colOff>
      <xdr:row>0</xdr:row>
      <xdr:rowOff>616925</xdr:rowOff>
    </xdr:to>
    <xdr:pic>
      <xdr:nvPicPr>
        <xdr:cNvPr id="2" name="Picture 1">
          <a:extLst>
            <a:ext uri="{FF2B5EF4-FFF2-40B4-BE49-F238E27FC236}">
              <a16:creationId xmlns:a16="http://schemas.microsoft.com/office/drawing/2014/main" id="{F193B31D-F752-47ED-91D9-412D3E046A60}"/>
            </a:ext>
          </a:extLst>
        </xdr:cNvPr>
        <xdr:cNvPicPr>
          <a:picLocks noChangeAspect="1"/>
        </xdr:cNvPicPr>
      </xdr:nvPicPr>
      <xdr:blipFill>
        <a:blip xmlns:r="http://schemas.openxmlformats.org/officeDocument/2006/relationships" r:embed="rId1"/>
        <a:stretch>
          <a:fillRect/>
        </a:stretch>
      </xdr:blipFill>
      <xdr:spPr>
        <a:xfrm>
          <a:off x="19050" y="0"/>
          <a:ext cx="2066925" cy="616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66675</xdr:colOff>
          <xdr:row>4</xdr:row>
          <xdr:rowOff>28575</xdr:rowOff>
        </xdr:from>
        <xdr:to>
          <xdr:col>4</xdr:col>
          <xdr:colOff>266700</xdr:colOff>
          <xdr:row>5</xdr:row>
          <xdr:rowOff>180975</xdr:rowOff>
        </xdr:to>
        <xdr:sp macro="" textlink="">
          <xdr:nvSpPr>
            <xdr:cNvPr id="51202" name="CommandButton3" hidden="1">
              <a:extLst>
                <a:ext uri="{63B3BB69-23CF-44E3-9099-C40C66FF867C}">
                  <a14:compatExt spid="_x0000_s51202"/>
                </a:ext>
                <a:ext uri="{FF2B5EF4-FFF2-40B4-BE49-F238E27FC236}">
                  <a16:creationId xmlns:a16="http://schemas.microsoft.com/office/drawing/2014/main" id="{B0FFF831-E031-4A48-ABD8-4312E85F73D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18</xdr:col>
      <xdr:colOff>342900</xdr:colOff>
      <xdr:row>47</xdr:row>
      <xdr:rowOff>77437</xdr:rowOff>
    </xdr:from>
    <xdr:ext cx="529119" cy="344838"/>
    <xdr:sp macro="" textlink="">
      <xdr:nvSpPr>
        <xdr:cNvPr id="127" name="TextBox 126">
          <a:extLst>
            <a:ext uri="{FF2B5EF4-FFF2-40B4-BE49-F238E27FC236}">
              <a16:creationId xmlns:a16="http://schemas.microsoft.com/office/drawing/2014/main" id="{7E20E9C5-54AD-A429-2BB3-9D5ED8542EDD}"/>
            </a:ext>
          </a:extLst>
        </xdr:cNvPr>
        <xdr:cNvSpPr txBox="1"/>
      </xdr:nvSpPr>
      <xdr:spPr>
        <a:xfrm>
          <a:off x="11315700" y="907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619</a:t>
          </a:r>
        </a:p>
        <a:p>
          <a:pPr algn="ctr"/>
          <a:r>
            <a:rPr lang="en-US" sz="1100"/>
            <a:t>Feet</a:t>
          </a:r>
        </a:p>
      </xdr:txBody>
    </xdr:sp>
    <xdr:clientData/>
  </xdr:oneCellAnchor>
  <xdr:oneCellAnchor>
    <xdr:from>
      <xdr:col>19</xdr:col>
      <xdr:colOff>190500</xdr:colOff>
      <xdr:row>48</xdr:row>
      <xdr:rowOff>66675</xdr:rowOff>
    </xdr:from>
    <xdr:ext cx="1059649" cy="781240"/>
    <xdr:sp macro="" textlink="">
      <xdr:nvSpPr>
        <xdr:cNvPr id="126" name="TextBox 125">
          <a:extLst>
            <a:ext uri="{FF2B5EF4-FFF2-40B4-BE49-F238E27FC236}">
              <a16:creationId xmlns:a16="http://schemas.microsoft.com/office/drawing/2014/main" id="{995B8D01-34F3-B437-C097-31BD41A63FFA}"/>
            </a:ext>
          </a:extLst>
        </xdr:cNvPr>
        <xdr:cNvSpPr txBox="1"/>
      </xdr:nvSpPr>
      <xdr:spPr>
        <a:xfrm>
          <a:off x="11772900" y="925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1113/@512</a:t>
          </a:r>
        </a:p>
        <a:p>
          <a:pPr algn="l"/>
          <a:r>
            <a:rPr lang="en-US" sz="1100"/>
            <a:t>USBM1X4</a:t>
          </a:r>
        </a:p>
        <a:p>
          <a:pPr algn="l"/>
          <a:r>
            <a:rPr lang="en-US" sz="1100"/>
            <a:t>-12.13dBm In</a:t>
          </a:r>
        </a:p>
        <a:p>
          <a:pPr algn="l"/>
          <a:r>
            <a:rPr lang="en-US" sz="1100"/>
            <a:t>-19.37dBm Out</a:t>
          </a:r>
        </a:p>
      </xdr:txBody>
    </xdr:sp>
    <xdr:clientData/>
  </xdr:oneCellAnchor>
  <xdr:oneCellAnchor>
    <xdr:from>
      <xdr:col>17</xdr:col>
      <xdr:colOff>190500</xdr:colOff>
      <xdr:row>44</xdr:row>
      <xdr:rowOff>28575</xdr:rowOff>
    </xdr:from>
    <xdr:ext cx="697370" cy="264560"/>
    <xdr:sp macro="" textlink="">
      <xdr:nvSpPr>
        <xdr:cNvPr id="123" name="TextBox 122">
          <a:extLst>
            <a:ext uri="{FF2B5EF4-FFF2-40B4-BE49-F238E27FC236}">
              <a16:creationId xmlns:a16="http://schemas.microsoft.com/office/drawing/2014/main" id="{FBD4845A-BAD8-4321-D8F2-C44703452B44}"/>
            </a:ext>
          </a:extLst>
        </xdr:cNvPr>
        <xdr:cNvSpPr txBox="1"/>
      </xdr:nvSpPr>
      <xdr:spPr>
        <a:xfrm>
          <a:off x="10553700" y="8458200"/>
          <a:ext cx="697370"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b="1"/>
            <a:t>Branch 2</a:t>
          </a:r>
        </a:p>
      </xdr:txBody>
    </xdr:sp>
    <xdr:clientData/>
  </xdr:oneCellAnchor>
  <xdr:oneCellAnchor>
    <xdr:from>
      <xdr:col>13</xdr:col>
      <xdr:colOff>38100</xdr:colOff>
      <xdr:row>47</xdr:row>
      <xdr:rowOff>77437</xdr:rowOff>
    </xdr:from>
    <xdr:ext cx="529119" cy="344838"/>
    <xdr:sp macro="" textlink="">
      <xdr:nvSpPr>
        <xdr:cNvPr id="119" name="TextBox 118">
          <a:extLst>
            <a:ext uri="{FF2B5EF4-FFF2-40B4-BE49-F238E27FC236}">
              <a16:creationId xmlns:a16="http://schemas.microsoft.com/office/drawing/2014/main" id="{5AD57CFD-B6F6-DE0E-92E9-AAD947BD8CDC}"/>
            </a:ext>
          </a:extLst>
        </xdr:cNvPr>
        <xdr:cNvSpPr txBox="1"/>
      </xdr:nvSpPr>
      <xdr:spPr>
        <a:xfrm>
          <a:off x="7962900" y="907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401</a:t>
          </a:r>
        </a:p>
        <a:p>
          <a:pPr algn="ctr"/>
          <a:r>
            <a:rPr lang="en-US" sz="1100"/>
            <a:t>Feet</a:t>
          </a:r>
        </a:p>
      </xdr:txBody>
    </xdr:sp>
    <xdr:clientData/>
  </xdr:oneCellAnchor>
  <xdr:oneCellAnchor>
    <xdr:from>
      <xdr:col>13</xdr:col>
      <xdr:colOff>495300</xdr:colOff>
      <xdr:row>48</xdr:row>
      <xdr:rowOff>66675</xdr:rowOff>
    </xdr:from>
    <xdr:ext cx="1059649" cy="781240"/>
    <xdr:sp macro="" textlink="">
      <xdr:nvSpPr>
        <xdr:cNvPr id="118" name="TextBox 117">
          <a:extLst>
            <a:ext uri="{FF2B5EF4-FFF2-40B4-BE49-F238E27FC236}">
              <a16:creationId xmlns:a16="http://schemas.microsoft.com/office/drawing/2014/main" id="{4CEB9E85-AE2E-9784-5BEA-5D72E627C93A}"/>
            </a:ext>
          </a:extLst>
        </xdr:cNvPr>
        <xdr:cNvSpPr txBox="1"/>
      </xdr:nvSpPr>
      <xdr:spPr>
        <a:xfrm>
          <a:off x="8420100" y="925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1113/@011</a:t>
          </a:r>
        </a:p>
        <a:p>
          <a:pPr algn="l"/>
          <a:r>
            <a:rPr lang="en-US" sz="1100"/>
            <a:t>USBM1X4</a:t>
          </a:r>
        </a:p>
        <a:p>
          <a:pPr algn="l"/>
          <a:r>
            <a:rPr lang="en-US" sz="1100"/>
            <a:t>-11.25dBm In</a:t>
          </a:r>
        </a:p>
        <a:p>
          <a:pPr algn="l"/>
          <a:r>
            <a:rPr lang="en-US" sz="1100"/>
            <a:t>-18.49dBm Out</a:t>
          </a:r>
        </a:p>
      </xdr:txBody>
    </xdr:sp>
    <xdr:clientData/>
  </xdr:oneCellAnchor>
  <xdr:oneCellAnchor>
    <xdr:from>
      <xdr:col>13</xdr:col>
      <xdr:colOff>38100</xdr:colOff>
      <xdr:row>42</xdr:row>
      <xdr:rowOff>77437</xdr:rowOff>
    </xdr:from>
    <xdr:ext cx="529119" cy="344838"/>
    <xdr:sp macro="" textlink="">
      <xdr:nvSpPr>
        <xdr:cNvPr id="115" name="TextBox 114">
          <a:extLst>
            <a:ext uri="{FF2B5EF4-FFF2-40B4-BE49-F238E27FC236}">
              <a16:creationId xmlns:a16="http://schemas.microsoft.com/office/drawing/2014/main" id="{B44B70D3-2F83-DFAC-2833-9D57E4702C49}"/>
            </a:ext>
          </a:extLst>
        </xdr:cNvPr>
        <xdr:cNvSpPr txBox="1"/>
      </xdr:nvSpPr>
      <xdr:spPr>
        <a:xfrm>
          <a:off x="7962900" y="8126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885</a:t>
          </a:r>
        </a:p>
        <a:p>
          <a:pPr algn="ctr"/>
          <a:r>
            <a:rPr lang="en-US" sz="1100"/>
            <a:t>Feet</a:t>
          </a:r>
        </a:p>
      </xdr:txBody>
    </xdr:sp>
    <xdr:clientData/>
  </xdr:oneCellAnchor>
  <xdr:oneCellAnchor>
    <xdr:from>
      <xdr:col>13</xdr:col>
      <xdr:colOff>495300</xdr:colOff>
      <xdr:row>43</xdr:row>
      <xdr:rowOff>66675</xdr:rowOff>
    </xdr:from>
    <xdr:ext cx="1059649" cy="781240"/>
    <xdr:sp macro="" textlink="">
      <xdr:nvSpPr>
        <xdr:cNvPr id="114" name="TextBox 113">
          <a:extLst>
            <a:ext uri="{FF2B5EF4-FFF2-40B4-BE49-F238E27FC236}">
              <a16:creationId xmlns:a16="http://schemas.microsoft.com/office/drawing/2014/main" id="{C3A49A52-299F-5485-7B5D-B2D43AD99A4A}"/>
            </a:ext>
          </a:extLst>
        </xdr:cNvPr>
        <xdr:cNvSpPr txBox="1"/>
      </xdr:nvSpPr>
      <xdr:spPr>
        <a:xfrm>
          <a:off x="8420100" y="830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1113/010</a:t>
          </a:r>
        </a:p>
        <a:p>
          <a:pPr algn="l"/>
          <a:r>
            <a:rPr lang="en-US" sz="1100"/>
            <a:t>N/A</a:t>
          </a:r>
        </a:p>
        <a:p>
          <a:pPr algn="l"/>
          <a:r>
            <a:rPr lang="en-US" sz="1100"/>
            <a:t>-11.17dBm In</a:t>
          </a:r>
        </a:p>
        <a:p>
          <a:pPr algn="l"/>
          <a:r>
            <a:rPr lang="en-US" sz="1100"/>
            <a:t>-11.21dBm Out</a:t>
          </a:r>
        </a:p>
      </xdr:txBody>
    </xdr:sp>
    <xdr:clientData/>
  </xdr:oneCellAnchor>
  <xdr:oneCellAnchor>
    <xdr:from>
      <xdr:col>13</xdr:col>
      <xdr:colOff>38100</xdr:colOff>
      <xdr:row>37</xdr:row>
      <xdr:rowOff>77437</xdr:rowOff>
    </xdr:from>
    <xdr:ext cx="529119" cy="344838"/>
    <xdr:sp macro="" textlink="">
      <xdr:nvSpPr>
        <xdr:cNvPr id="109" name="TextBox 108">
          <a:extLst>
            <a:ext uri="{FF2B5EF4-FFF2-40B4-BE49-F238E27FC236}">
              <a16:creationId xmlns:a16="http://schemas.microsoft.com/office/drawing/2014/main" id="{34EA0C58-C17A-A7BD-36DA-5BABC88CDA27}"/>
            </a:ext>
          </a:extLst>
        </xdr:cNvPr>
        <xdr:cNvSpPr txBox="1"/>
      </xdr:nvSpPr>
      <xdr:spPr>
        <a:xfrm>
          <a:off x="7962900" y="717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906</a:t>
          </a:r>
        </a:p>
        <a:p>
          <a:pPr algn="ctr"/>
          <a:r>
            <a:rPr lang="en-US" sz="1100"/>
            <a:t>Feet</a:t>
          </a:r>
        </a:p>
      </xdr:txBody>
    </xdr:sp>
    <xdr:clientData/>
  </xdr:oneCellAnchor>
  <xdr:oneCellAnchor>
    <xdr:from>
      <xdr:col>13</xdr:col>
      <xdr:colOff>495300</xdr:colOff>
      <xdr:row>38</xdr:row>
      <xdr:rowOff>66675</xdr:rowOff>
    </xdr:from>
    <xdr:ext cx="1059649" cy="781240"/>
    <xdr:sp macro="" textlink="">
      <xdr:nvSpPr>
        <xdr:cNvPr id="108" name="TextBox 107">
          <a:extLst>
            <a:ext uri="{FF2B5EF4-FFF2-40B4-BE49-F238E27FC236}">
              <a16:creationId xmlns:a16="http://schemas.microsoft.com/office/drawing/2014/main" id="{A36D3292-4680-D6FA-D040-079DD8BF4B73}"/>
            </a:ext>
          </a:extLst>
        </xdr:cNvPr>
        <xdr:cNvSpPr txBox="1"/>
      </xdr:nvSpPr>
      <xdr:spPr>
        <a:xfrm>
          <a:off x="8420100" y="735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1113/@007</a:t>
          </a:r>
        </a:p>
        <a:p>
          <a:pPr algn="l"/>
          <a:r>
            <a:rPr lang="en-US" sz="1100"/>
            <a:t>USBM1X4</a:t>
          </a:r>
        </a:p>
        <a:p>
          <a:pPr algn="l"/>
          <a:r>
            <a:rPr lang="en-US" sz="1100"/>
            <a:t>-11.04dBm In</a:t>
          </a:r>
        </a:p>
        <a:p>
          <a:pPr algn="l"/>
          <a:r>
            <a:rPr lang="en-US" sz="1100"/>
            <a:t>-18.28dBm Out</a:t>
          </a:r>
        </a:p>
      </xdr:txBody>
    </xdr:sp>
    <xdr:clientData/>
  </xdr:oneCellAnchor>
  <xdr:oneCellAnchor>
    <xdr:from>
      <xdr:col>13</xdr:col>
      <xdr:colOff>38100</xdr:colOff>
      <xdr:row>32</xdr:row>
      <xdr:rowOff>77437</xdr:rowOff>
    </xdr:from>
    <xdr:ext cx="529119" cy="344838"/>
    <xdr:sp macro="" textlink="">
      <xdr:nvSpPr>
        <xdr:cNvPr id="103" name="TextBox 102">
          <a:extLst>
            <a:ext uri="{FF2B5EF4-FFF2-40B4-BE49-F238E27FC236}">
              <a16:creationId xmlns:a16="http://schemas.microsoft.com/office/drawing/2014/main" id="{648C4963-9058-603C-02D8-493EEFB819E5}"/>
            </a:ext>
          </a:extLst>
        </xdr:cNvPr>
        <xdr:cNvSpPr txBox="1"/>
      </xdr:nvSpPr>
      <xdr:spPr>
        <a:xfrm>
          <a:off x="7962900" y="622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907</a:t>
          </a:r>
        </a:p>
        <a:p>
          <a:pPr algn="ctr"/>
          <a:r>
            <a:rPr lang="en-US" sz="1100"/>
            <a:t>Feet</a:t>
          </a:r>
        </a:p>
      </xdr:txBody>
    </xdr:sp>
    <xdr:clientData/>
  </xdr:oneCellAnchor>
  <xdr:oneCellAnchor>
    <xdr:from>
      <xdr:col>13</xdr:col>
      <xdr:colOff>495300</xdr:colOff>
      <xdr:row>33</xdr:row>
      <xdr:rowOff>66675</xdr:rowOff>
    </xdr:from>
    <xdr:ext cx="1059649" cy="781240"/>
    <xdr:sp macro="" textlink="">
      <xdr:nvSpPr>
        <xdr:cNvPr id="102" name="TextBox 101">
          <a:extLst>
            <a:ext uri="{FF2B5EF4-FFF2-40B4-BE49-F238E27FC236}">
              <a16:creationId xmlns:a16="http://schemas.microsoft.com/office/drawing/2014/main" id="{89C0B6A6-0E6A-20EA-A7CD-5CF9EE763B9F}"/>
            </a:ext>
          </a:extLst>
        </xdr:cNvPr>
        <xdr:cNvSpPr txBox="1"/>
      </xdr:nvSpPr>
      <xdr:spPr>
        <a:xfrm>
          <a:off x="8420100" y="640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1113/@004</a:t>
          </a:r>
        </a:p>
        <a:p>
          <a:pPr algn="l"/>
          <a:r>
            <a:rPr lang="en-US" sz="1100"/>
            <a:t>USBM1X4</a:t>
          </a:r>
        </a:p>
        <a:p>
          <a:pPr algn="l"/>
          <a:r>
            <a:rPr lang="en-US" sz="1100"/>
            <a:t>-10.91dBm In</a:t>
          </a:r>
        </a:p>
        <a:p>
          <a:pPr algn="l"/>
          <a:r>
            <a:rPr lang="en-US" sz="1100"/>
            <a:t>-18.15dBm Out</a:t>
          </a:r>
        </a:p>
      </xdr:txBody>
    </xdr:sp>
    <xdr:clientData/>
  </xdr:oneCellAnchor>
  <xdr:oneCellAnchor>
    <xdr:from>
      <xdr:col>13</xdr:col>
      <xdr:colOff>38100</xdr:colOff>
      <xdr:row>27</xdr:row>
      <xdr:rowOff>77437</xdr:rowOff>
    </xdr:from>
    <xdr:ext cx="529119" cy="344838"/>
    <xdr:sp macro="" textlink="">
      <xdr:nvSpPr>
        <xdr:cNvPr id="97" name="TextBox 96">
          <a:extLst>
            <a:ext uri="{FF2B5EF4-FFF2-40B4-BE49-F238E27FC236}">
              <a16:creationId xmlns:a16="http://schemas.microsoft.com/office/drawing/2014/main" id="{3554CF21-08A0-E52F-7023-2230704DFA3A}"/>
            </a:ext>
          </a:extLst>
        </xdr:cNvPr>
        <xdr:cNvSpPr txBox="1"/>
      </xdr:nvSpPr>
      <xdr:spPr>
        <a:xfrm>
          <a:off x="7962900" y="526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391</a:t>
          </a:r>
        </a:p>
        <a:p>
          <a:pPr algn="ctr"/>
          <a:r>
            <a:rPr lang="en-US" sz="1100"/>
            <a:t>Feet</a:t>
          </a:r>
        </a:p>
      </xdr:txBody>
    </xdr:sp>
    <xdr:clientData/>
  </xdr:oneCellAnchor>
  <xdr:oneCellAnchor>
    <xdr:from>
      <xdr:col>13</xdr:col>
      <xdr:colOff>495300</xdr:colOff>
      <xdr:row>28</xdr:row>
      <xdr:rowOff>66675</xdr:rowOff>
    </xdr:from>
    <xdr:ext cx="1059649" cy="781240"/>
    <xdr:sp macro="" textlink="">
      <xdr:nvSpPr>
        <xdr:cNvPr id="96" name="TextBox 95">
          <a:extLst>
            <a:ext uri="{FF2B5EF4-FFF2-40B4-BE49-F238E27FC236}">
              <a16:creationId xmlns:a16="http://schemas.microsoft.com/office/drawing/2014/main" id="{E1388B74-F225-7957-7CA5-E9ED0FFB3BC2}"/>
            </a:ext>
          </a:extLst>
        </xdr:cNvPr>
        <xdr:cNvSpPr txBox="1"/>
      </xdr:nvSpPr>
      <xdr:spPr>
        <a:xfrm>
          <a:off x="8420100" y="544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1113/@001</a:t>
          </a:r>
        </a:p>
        <a:p>
          <a:pPr algn="l"/>
          <a:r>
            <a:rPr lang="en-US" sz="1100"/>
            <a:t>USBM1X4</a:t>
          </a:r>
        </a:p>
        <a:p>
          <a:pPr algn="l"/>
          <a:r>
            <a:rPr lang="en-US" sz="1100"/>
            <a:t>-10.79dBm In</a:t>
          </a:r>
        </a:p>
        <a:p>
          <a:pPr algn="l"/>
          <a:r>
            <a:rPr lang="en-US" sz="1100"/>
            <a:t>-18.03dBm Out</a:t>
          </a:r>
        </a:p>
      </xdr:txBody>
    </xdr:sp>
    <xdr:clientData/>
  </xdr:oneCellAnchor>
  <xdr:oneCellAnchor>
    <xdr:from>
      <xdr:col>6</xdr:col>
      <xdr:colOff>190500</xdr:colOff>
      <xdr:row>24</xdr:row>
      <xdr:rowOff>28575</xdr:rowOff>
    </xdr:from>
    <xdr:ext cx="697370" cy="264560"/>
    <xdr:sp macro="" textlink="">
      <xdr:nvSpPr>
        <xdr:cNvPr id="93" name="TextBox 92">
          <a:extLst>
            <a:ext uri="{FF2B5EF4-FFF2-40B4-BE49-F238E27FC236}">
              <a16:creationId xmlns:a16="http://schemas.microsoft.com/office/drawing/2014/main" id="{11DCB852-69A6-7BA9-481A-3282D67BA150}"/>
            </a:ext>
          </a:extLst>
        </xdr:cNvPr>
        <xdr:cNvSpPr txBox="1"/>
      </xdr:nvSpPr>
      <xdr:spPr>
        <a:xfrm>
          <a:off x="3848100" y="4648200"/>
          <a:ext cx="697370"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b="1"/>
            <a:t>Branch 1</a:t>
          </a:r>
        </a:p>
      </xdr:txBody>
    </xdr:sp>
    <xdr:clientData/>
  </xdr:oneCellAnchor>
  <xdr:oneCellAnchor>
    <xdr:from>
      <xdr:col>7</xdr:col>
      <xdr:colOff>342900</xdr:colOff>
      <xdr:row>67</xdr:row>
      <xdr:rowOff>77437</xdr:rowOff>
    </xdr:from>
    <xdr:ext cx="529119" cy="344838"/>
    <xdr:sp macro="" textlink="">
      <xdr:nvSpPr>
        <xdr:cNvPr id="89" name="TextBox 88">
          <a:extLst>
            <a:ext uri="{FF2B5EF4-FFF2-40B4-BE49-F238E27FC236}">
              <a16:creationId xmlns:a16="http://schemas.microsoft.com/office/drawing/2014/main" id="{F75FF98E-5B74-35F7-27DD-FE456C4E20C5}"/>
            </a:ext>
          </a:extLst>
        </xdr:cNvPr>
        <xdr:cNvSpPr txBox="1"/>
      </xdr:nvSpPr>
      <xdr:spPr>
        <a:xfrm>
          <a:off x="4610100" y="1288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642</a:t>
          </a:r>
        </a:p>
        <a:p>
          <a:pPr algn="ctr"/>
          <a:r>
            <a:rPr lang="en-US" sz="1100"/>
            <a:t>Feet</a:t>
          </a:r>
        </a:p>
      </xdr:txBody>
    </xdr:sp>
    <xdr:clientData/>
  </xdr:oneCellAnchor>
  <xdr:oneCellAnchor>
    <xdr:from>
      <xdr:col>8</xdr:col>
      <xdr:colOff>190500</xdr:colOff>
      <xdr:row>68</xdr:row>
      <xdr:rowOff>66675</xdr:rowOff>
    </xdr:from>
    <xdr:ext cx="1059649" cy="781240"/>
    <xdr:sp macro="" textlink="">
      <xdr:nvSpPr>
        <xdr:cNvPr id="88" name="TextBox 87">
          <a:extLst>
            <a:ext uri="{FF2B5EF4-FFF2-40B4-BE49-F238E27FC236}">
              <a16:creationId xmlns:a16="http://schemas.microsoft.com/office/drawing/2014/main" id="{D1A0F156-2A66-CD9A-CA44-A1EAD4BE933A}"/>
            </a:ext>
          </a:extLst>
        </xdr:cNvPr>
        <xdr:cNvSpPr txBox="1"/>
      </xdr:nvSpPr>
      <xdr:spPr>
        <a:xfrm>
          <a:off x="5067300" y="1306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1124/@005</a:t>
          </a:r>
        </a:p>
        <a:p>
          <a:pPr algn="l"/>
          <a:r>
            <a:rPr lang="en-US" sz="1100"/>
            <a:t>USBM1X4</a:t>
          </a:r>
        </a:p>
        <a:p>
          <a:pPr algn="l"/>
          <a:r>
            <a:rPr lang="en-US" sz="1100"/>
            <a:t>-12.37dBm In</a:t>
          </a:r>
        </a:p>
        <a:p>
          <a:pPr algn="l"/>
          <a:r>
            <a:rPr lang="en-US" sz="1100"/>
            <a:t>-19.61dBm Out</a:t>
          </a:r>
        </a:p>
      </xdr:txBody>
    </xdr:sp>
    <xdr:clientData/>
  </xdr:oneCellAnchor>
  <xdr:oneCellAnchor>
    <xdr:from>
      <xdr:col>7</xdr:col>
      <xdr:colOff>342900</xdr:colOff>
      <xdr:row>62</xdr:row>
      <xdr:rowOff>77437</xdr:rowOff>
    </xdr:from>
    <xdr:ext cx="529119" cy="344838"/>
    <xdr:sp macro="" textlink="">
      <xdr:nvSpPr>
        <xdr:cNvPr id="83" name="TextBox 82">
          <a:extLst>
            <a:ext uri="{FF2B5EF4-FFF2-40B4-BE49-F238E27FC236}">
              <a16:creationId xmlns:a16="http://schemas.microsoft.com/office/drawing/2014/main" id="{3609180E-870D-1167-6822-BD75752CFC89}"/>
            </a:ext>
          </a:extLst>
        </xdr:cNvPr>
        <xdr:cNvSpPr txBox="1"/>
      </xdr:nvSpPr>
      <xdr:spPr>
        <a:xfrm>
          <a:off x="4610100" y="11936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892</a:t>
          </a:r>
        </a:p>
        <a:p>
          <a:pPr algn="ctr"/>
          <a:r>
            <a:rPr lang="en-US" sz="1100"/>
            <a:t>Feet</a:t>
          </a:r>
        </a:p>
      </xdr:txBody>
    </xdr:sp>
    <xdr:clientData/>
  </xdr:oneCellAnchor>
  <xdr:oneCellAnchor>
    <xdr:from>
      <xdr:col>8</xdr:col>
      <xdr:colOff>190500</xdr:colOff>
      <xdr:row>63</xdr:row>
      <xdr:rowOff>66675</xdr:rowOff>
    </xdr:from>
    <xdr:ext cx="1059649" cy="781240"/>
    <xdr:sp macro="" textlink="">
      <xdr:nvSpPr>
        <xdr:cNvPr id="82" name="TextBox 81">
          <a:extLst>
            <a:ext uri="{FF2B5EF4-FFF2-40B4-BE49-F238E27FC236}">
              <a16:creationId xmlns:a16="http://schemas.microsoft.com/office/drawing/2014/main" id="{6962EE5F-7756-759B-9924-1452EB82846F}"/>
            </a:ext>
          </a:extLst>
        </xdr:cNvPr>
        <xdr:cNvSpPr txBox="1"/>
      </xdr:nvSpPr>
      <xdr:spPr>
        <a:xfrm>
          <a:off x="5067300" y="1211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1124/@003</a:t>
          </a:r>
        </a:p>
        <a:p>
          <a:pPr algn="l"/>
          <a:r>
            <a:rPr lang="en-US" sz="1100"/>
            <a:t>USBM1X4</a:t>
          </a:r>
        </a:p>
        <a:p>
          <a:pPr algn="l"/>
          <a:r>
            <a:rPr lang="en-US" sz="1100"/>
            <a:t>-12.27dBm In</a:t>
          </a:r>
        </a:p>
        <a:p>
          <a:pPr algn="l"/>
          <a:r>
            <a:rPr lang="en-US" sz="1100"/>
            <a:t>-19.51dBm Out</a:t>
          </a:r>
        </a:p>
      </xdr:txBody>
    </xdr:sp>
    <xdr:clientData/>
  </xdr:oneCellAnchor>
  <xdr:oneCellAnchor>
    <xdr:from>
      <xdr:col>7</xdr:col>
      <xdr:colOff>342900</xdr:colOff>
      <xdr:row>57</xdr:row>
      <xdr:rowOff>77437</xdr:rowOff>
    </xdr:from>
    <xdr:ext cx="529119" cy="344838"/>
    <xdr:sp macro="" textlink="">
      <xdr:nvSpPr>
        <xdr:cNvPr id="79" name="TextBox 78">
          <a:extLst>
            <a:ext uri="{FF2B5EF4-FFF2-40B4-BE49-F238E27FC236}">
              <a16:creationId xmlns:a16="http://schemas.microsoft.com/office/drawing/2014/main" id="{6D1C9209-AB23-8EC8-EE86-0160E124772E}"/>
            </a:ext>
          </a:extLst>
        </xdr:cNvPr>
        <xdr:cNvSpPr txBox="1"/>
      </xdr:nvSpPr>
      <xdr:spPr>
        <a:xfrm>
          <a:off x="4610100" y="1098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340</a:t>
          </a:r>
        </a:p>
        <a:p>
          <a:pPr algn="ctr"/>
          <a:r>
            <a:rPr lang="en-US" sz="1100"/>
            <a:t>Feet</a:t>
          </a:r>
        </a:p>
      </xdr:txBody>
    </xdr:sp>
    <xdr:clientData/>
  </xdr:oneCellAnchor>
  <xdr:oneCellAnchor>
    <xdr:from>
      <xdr:col>8</xdr:col>
      <xdr:colOff>190500</xdr:colOff>
      <xdr:row>58</xdr:row>
      <xdr:rowOff>66675</xdr:rowOff>
    </xdr:from>
    <xdr:ext cx="1059649" cy="781240"/>
    <xdr:sp macro="" textlink="">
      <xdr:nvSpPr>
        <xdr:cNvPr id="78" name="TextBox 77">
          <a:extLst>
            <a:ext uri="{FF2B5EF4-FFF2-40B4-BE49-F238E27FC236}">
              <a16:creationId xmlns:a16="http://schemas.microsoft.com/office/drawing/2014/main" id="{63249DD5-50B7-EBE4-B957-4BDA278FB295}"/>
            </a:ext>
          </a:extLst>
        </xdr:cNvPr>
        <xdr:cNvSpPr txBox="1"/>
      </xdr:nvSpPr>
      <xdr:spPr>
        <a:xfrm>
          <a:off x="5067300" y="1116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1096/012</a:t>
          </a:r>
        </a:p>
        <a:p>
          <a:pPr algn="l"/>
          <a:r>
            <a:rPr lang="en-US" sz="1100"/>
            <a:t>N/A</a:t>
          </a:r>
        </a:p>
        <a:p>
          <a:pPr algn="l"/>
          <a:r>
            <a:rPr lang="en-US" sz="1100"/>
            <a:t>-12.15dBm In</a:t>
          </a:r>
        </a:p>
        <a:p>
          <a:pPr algn="l"/>
          <a:r>
            <a:rPr lang="en-US" sz="1100"/>
            <a:t>-12.18dBm Out</a:t>
          </a:r>
        </a:p>
      </xdr:txBody>
    </xdr:sp>
    <xdr:clientData/>
  </xdr:oneCellAnchor>
  <xdr:oneCellAnchor>
    <xdr:from>
      <xdr:col>7</xdr:col>
      <xdr:colOff>342900</xdr:colOff>
      <xdr:row>52</xdr:row>
      <xdr:rowOff>77437</xdr:rowOff>
    </xdr:from>
    <xdr:ext cx="529119" cy="344838"/>
    <xdr:sp macro="" textlink="">
      <xdr:nvSpPr>
        <xdr:cNvPr id="73" name="TextBox 72">
          <a:extLst>
            <a:ext uri="{FF2B5EF4-FFF2-40B4-BE49-F238E27FC236}">
              <a16:creationId xmlns:a16="http://schemas.microsoft.com/office/drawing/2014/main" id="{9610B4AC-2067-5515-F714-87529343DE89}"/>
            </a:ext>
          </a:extLst>
        </xdr:cNvPr>
        <xdr:cNvSpPr txBox="1"/>
      </xdr:nvSpPr>
      <xdr:spPr>
        <a:xfrm>
          <a:off x="4610100" y="1003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506</a:t>
          </a:r>
        </a:p>
        <a:p>
          <a:pPr algn="ctr"/>
          <a:r>
            <a:rPr lang="en-US" sz="1100"/>
            <a:t>Feet</a:t>
          </a:r>
        </a:p>
      </xdr:txBody>
    </xdr:sp>
    <xdr:clientData/>
  </xdr:oneCellAnchor>
  <xdr:oneCellAnchor>
    <xdr:from>
      <xdr:col>8</xdr:col>
      <xdr:colOff>190500</xdr:colOff>
      <xdr:row>53</xdr:row>
      <xdr:rowOff>66675</xdr:rowOff>
    </xdr:from>
    <xdr:ext cx="1059649" cy="781240"/>
    <xdr:sp macro="" textlink="">
      <xdr:nvSpPr>
        <xdr:cNvPr id="72" name="TextBox 71">
          <a:extLst>
            <a:ext uri="{FF2B5EF4-FFF2-40B4-BE49-F238E27FC236}">
              <a16:creationId xmlns:a16="http://schemas.microsoft.com/office/drawing/2014/main" id="{40F05F45-F34F-0692-BCAF-037B0798A76F}"/>
            </a:ext>
          </a:extLst>
        </xdr:cNvPr>
        <xdr:cNvSpPr txBox="1"/>
      </xdr:nvSpPr>
      <xdr:spPr>
        <a:xfrm>
          <a:off x="5067300" y="1021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1096/@509</a:t>
          </a:r>
        </a:p>
        <a:p>
          <a:pPr algn="l"/>
          <a:r>
            <a:rPr lang="en-US" sz="1100"/>
            <a:t>USBM1X8</a:t>
          </a:r>
        </a:p>
        <a:p>
          <a:pPr algn="l"/>
          <a:r>
            <a:rPr lang="en-US" sz="1100"/>
            <a:t>-12.07dBm In</a:t>
          </a:r>
        </a:p>
        <a:p>
          <a:pPr algn="l"/>
          <a:r>
            <a:rPr lang="en-US" sz="1100"/>
            <a:t>-22.71dBm Out</a:t>
          </a:r>
        </a:p>
      </xdr:txBody>
    </xdr:sp>
    <xdr:clientData/>
  </xdr:oneCellAnchor>
  <xdr:oneCellAnchor>
    <xdr:from>
      <xdr:col>7</xdr:col>
      <xdr:colOff>342900</xdr:colOff>
      <xdr:row>47</xdr:row>
      <xdr:rowOff>77437</xdr:rowOff>
    </xdr:from>
    <xdr:ext cx="529119" cy="344838"/>
    <xdr:sp macro="" textlink="">
      <xdr:nvSpPr>
        <xdr:cNvPr id="67" name="TextBox 66">
          <a:extLst>
            <a:ext uri="{FF2B5EF4-FFF2-40B4-BE49-F238E27FC236}">
              <a16:creationId xmlns:a16="http://schemas.microsoft.com/office/drawing/2014/main" id="{4168B9F2-9E0D-4E9B-0CCC-17F9E95A98D2}"/>
            </a:ext>
          </a:extLst>
        </xdr:cNvPr>
        <xdr:cNvSpPr txBox="1"/>
      </xdr:nvSpPr>
      <xdr:spPr>
        <a:xfrm>
          <a:off x="4610100" y="907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615</a:t>
          </a:r>
        </a:p>
        <a:p>
          <a:pPr algn="ctr"/>
          <a:r>
            <a:rPr lang="en-US" sz="1100"/>
            <a:t>Feet</a:t>
          </a:r>
        </a:p>
      </xdr:txBody>
    </xdr:sp>
    <xdr:clientData/>
  </xdr:oneCellAnchor>
  <xdr:oneCellAnchor>
    <xdr:from>
      <xdr:col>8</xdr:col>
      <xdr:colOff>190500</xdr:colOff>
      <xdr:row>48</xdr:row>
      <xdr:rowOff>66675</xdr:rowOff>
    </xdr:from>
    <xdr:ext cx="1059649" cy="781240"/>
    <xdr:sp macro="" textlink="">
      <xdr:nvSpPr>
        <xdr:cNvPr id="66" name="TextBox 65">
          <a:extLst>
            <a:ext uri="{FF2B5EF4-FFF2-40B4-BE49-F238E27FC236}">
              <a16:creationId xmlns:a16="http://schemas.microsoft.com/office/drawing/2014/main" id="{2E7CD9FC-E21E-A885-CD53-6F845A33C59A}"/>
            </a:ext>
          </a:extLst>
        </xdr:cNvPr>
        <xdr:cNvSpPr txBox="1"/>
      </xdr:nvSpPr>
      <xdr:spPr>
        <a:xfrm>
          <a:off x="5067300" y="925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1096/@007</a:t>
          </a:r>
        </a:p>
        <a:p>
          <a:pPr algn="l"/>
          <a:r>
            <a:rPr lang="en-US" sz="1100"/>
            <a:t>USBM1X4</a:t>
          </a:r>
        </a:p>
        <a:p>
          <a:pPr algn="l"/>
          <a:r>
            <a:rPr lang="en-US" sz="1100"/>
            <a:t>-11.99dBm In</a:t>
          </a:r>
        </a:p>
        <a:p>
          <a:pPr algn="l"/>
          <a:r>
            <a:rPr lang="en-US" sz="1100"/>
            <a:t>-19.23dBm Out</a:t>
          </a:r>
        </a:p>
      </xdr:txBody>
    </xdr:sp>
    <xdr:clientData/>
  </xdr:oneCellAnchor>
  <xdr:oneCellAnchor>
    <xdr:from>
      <xdr:col>7</xdr:col>
      <xdr:colOff>342900</xdr:colOff>
      <xdr:row>42</xdr:row>
      <xdr:rowOff>77437</xdr:rowOff>
    </xdr:from>
    <xdr:ext cx="529119" cy="344838"/>
    <xdr:sp macro="" textlink="">
      <xdr:nvSpPr>
        <xdr:cNvPr id="61" name="TextBox 60">
          <a:extLst>
            <a:ext uri="{FF2B5EF4-FFF2-40B4-BE49-F238E27FC236}">
              <a16:creationId xmlns:a16="http://schemas.microsoft.com/office/drawing/2014/main" id="{6CF29F4A-3927-AC41-73A1-55C8C253B8A7}"/>
            </a:ext>
          </a:extLst>
        </xdr:cNvPr>
        <xdr:cNvSpPr txBox="1"/>
      </xdr:nvSpPr>
      <xdr:spPr>
        <a:xfrm>
          <a:off x="4610100" y="8126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539</a:t>
          </a:r>
        </a:p>
        <a:p>
          <a:pPr algn="ctr"/>
          <a:r>
            <a:rPr lang="en-US" sz="1100"/>
            <a:t>Feet</a:t>
          </a:r>
        </a:p>
      </xdr:txBody>
    </xdr:sp>
    <xdr:clientData/>
  </xdr:oneCellAnchor>
  <xdr:oneCellAnchor>
    <xdr:from>
      <xdr:col>8</xdr:col>
      <xdr:colOff>190500</xdr:colOff>
      <xdr:row>43</xdr:row>
      <xdr:rowOff>66675</xdr:rowOff>
    </xdr:from>
    <xdr:ext cx="1059649" cy="781240"/>
    <xdr:sp macro="" textlink="">
      <xdr:nvSpPr>
        <xdr:cNvPr id="60" name="TextBox 59">
          <a:extLst>
            <a:ext uri="{FF2B5EF4-FFF2-40B4-BE49-F238E27FC236}">
              <a16:creationId xmlns:a16="http://schemas.microsoft.com/office/drawing/2014/main" id="{10E81D2A-1DBC-F512-16AE-909220CA37B0}"/>
            </a:ext>
          </a:extLst>
        </xdr:cNvPr>
        <xdr:cNvSpPr txBox="1"/>
      </xdr:nvSpPr>
      <xdr:spPr>
        <a:xfrm>
          <a:off x="5067300" y="830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1096/@003</a:t>
          </a:r>
        </a:p>
        <a:p>
          <a:pPr algn="l"/>
          <a:r>
            <a:rPr lang="en-US" sz="1100"/>
            <a:t>USBM1X4</a:t>
          </a:r>
        </a:p>
        <a:p>
          <a:pPr algn="l"/>
          <a:r>
            <a:rPr lang="en-US" sz="1100"/>
            <a:t>-11.89dBm In</a:t>
          </a:r>
        </a:p>
        <a:p>
          <a:pPr algn="l"/>
          <a:r>
            <a:rPr lang="en-US" sz="1100"/>
            <a:t>-19.13dBm Out</a:t>
          </a:r>
        </a:p>
      </xdr:txBody>
    </xdr:sp>
    <xdr:clientData/>
  </xdr:oneCellAnchor>
  <xdr:oneCellAnchor>
    <xdr:from>
      <xdr:col>6</xdr:col>
      <xdr:colOff>190500</xdr:colOff>
      <xdr:row>39</xdr:row>
      <xdr:rowOff>28575</xdr:rowOff>
    </xdr:from>
    <xdr:ext cx="697370" cy="264560"/>
    <xdr:sp macro="" textlink="">
      <xdr:nvSpPr>
        <xdr:cNvPr id="57" name="TextBox 56">
          <a:extLst>
            <a:ext uri="{FF2B5EF4-FFF2-40B4-BE49-F238E27FC236}">
              <a16:creationId xmlns:a16="http://schemas.microsoft.com/office/drawing/2014/main" id="{AB76E9C3-6A93-DB27-C465-470F960B0658}"/>
            </a:ext>
          </a:extLst>
        </xdr:cNvPr>
        <xdr:cNvSpPr txBox="1"/>
      </xdr:nvSpPr>
      <xdr:spPr>
        <a:xfrm>
          <a:off x="3848100" y="7505700"/>
          <a:ext cx="697370"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b="1"/>
            <a:t>Branch 3</a:t>
          </a:r>
        </a:p>
      </xdr:txBody>
    </xdr:sp>
    <xdr:clientData/>
  </xdr:oneCellAnchor>
  <xdr:oneCellAnchor>
    <xdr:from>
      <xdr:col>2</xdr:col>
      <xdr:colOff>38100</xdr:colOff>
      <xdr:row>52</xdr:row>
      <xdr:rowOff>43966</xdr:rowOff>
    </xdr:from>
    <xdr:ext cx="529119" cy="378309"/>
    <xdr:sp macro="" textlink="">
      <xdr:nvSpPr>
        <xdr:cNvPr id="53" name="TextBox 52">
          <a:extLst>
            <a:ext uri="{FF2B5EF4-FFF2-40B4-BE49-F238E27FC236}">
              <a16:creationId xmlns:a16="http://schemas.microsoft.com/office/drawing/2014/main" id="{9A2BE804-6209-FF6D-4094-0FEC7090906D}"/>
            </a:ext>
          </a:extLst>
        </xdr:cNvPr>
        <xdr:cNvSpPr txBox="1"/>
      </xdr:nvSpPr>
      <xdr:spPr>
        <a:xfrm>
          <a:off x="1257300" y="9997591"/>
          <a:ext cx="529119" cy="3783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1055</a:t>
          </a:r>
        </a:p>
        <a:p>
          <a:pPr algn="ctr"/>
          <a:r>
            <a:rPr lang="en-US" sz="1100"/>
            <a:t>Feet</a:t>
          </a:r>
        </a:p>
      </xdr:txBody>
    </xdr:sp>
    <xdr:clientData/>
  </xdr:oneCellAnchor>
  <xdr:oneCellAnchor>
    <xdr:from>
      <xdr:col>2</xdr:col>
      <xdr:colOff>495300</xdr:colOff>
      <xdr:row>53</xdr:row>
      <xdr:rowOff>66675</xdr:rowOff>
    </xdr:from>
    <xdr:ext cx="1059649" cy="781240"/>
    <xdr:sp macro="" textlink="">
      <xdr:nvSpPr>
        <xdr:cNvPr id="52" name="TextBox 51">
          <a:extLst>
            <a:ext uri="{FF2B5EF4-FFF2-40B4-BE49-F238E27FC236}">
              <a16:creationId xmlns:a16="http://schemas.microsoft.com/office/drawing/2014/main" id="{8A7C6060-FE74-1214-DF3F-68FEC15A6106}"/>
            </a:ext>
          </a:extLst>
        </xdr:cNvPr>
        <xdr:cNvSpPr txBox="1"/>
      </xdr:nvSpPr>
      <xdr:spPr>
        <a:xfrm>
          <a:off x="1714500" y="1021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1097/@181</a:t>
          </a:r>
        </a:p>
        <a:p>
          <a:pPr algn="l"/>
          <a:r>
            <a:rPr lang="en-US" sz="1100"/>
            <a:t>USBM1X4</a:t>
          </a:r>
        </a:p>
        <a:p>
          <a:pPr algn="l"/>
          <a:r>
            <a:rPr lang="en-US" sz="1100"/>
            <a:t>-11.23dBm In</a:t>
          </a:r>
        </a:p>
        <a:p>
          <a:pPr algn="l"/>
          <a:r>
            <a:rPr lang="en-US" sz="1100"/>
            <a:t>-18.47dBm Out</a:t>
          </a:r>
        </a:p>
      </xdr:txBody>
    </xdr:sp>
    <xdr:clientData/>
  </xdr:oneCellAnchor>
  <xdr:oneCellAnchor>
    <xdr:from>
      <xdr:col>2</xdr:col>
      <xdr:colOff>38100</xdr:colOff>
      <xdr:row>47</xdr:row>
      <xdr:rowOff>77437</xdr:rowOff>
    </xdr:from>
    <xdr:ext cx="529119" cy="344838"/>
    <xdr:sp macro="" textlink="">
      <xdr:nvSpPr>
        <xdr:cNvPr id="47" name="TextBox 46">
          <a:extLst>
            <a:ext uri="{FF2B5EF4-FFF2-40B4-BE49-F238E27FC236}">
              <a16:creationId xmlns:a16="http://schemas.microsoft.com/office/drawing/2014/main" id="{6519CD35-E4EA-7142-D2CA-D0FC373020AE}"/>
            </a:ext>
          </a:extLst>
        </xdr:cNvPr>
        <xdr:cNvSpPr txBox="1"/>
      </xdr:nvSpPr>
      <xdr:spPr>
        <a:xfrm>
          <a:off x="1257300" y="907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981</a:t>
          </a:r>
        </a:p>
        <a:p>
          <a:pPr algn="ctr"/>
          <a:r>
            <a:rPr lang="en-US" sz="1100"/>
            <a:t>Feet</a:t>
          </a:r>
        </a:p>
      </xdr:txBody>
    </xdr:sp>
    <xdr:clientData/>
  </xdr:oneCellAnchor>
  <xdr:oneCellAnchor>
    <xdr:from>
      <xdr:col>2</xdr:col>
      <xdr:colOff>495300</xdr:colOff>
      <xdr:row>48</xdr:row>
      <xdr:rowOff>66675</xdr:rowOff>
    </xdr:from>
    <xdr:ext cx="1059649" cy="781240"/>
    <xdr:sp macro="" textlink="">
      <xdr:nvSpPr>
        <xdr:cNvPr id="46" name="TextBox 45">
          <a:extLst>
            <a:ext uri="{FF2B5EF4-FFF2-40B4-BE49-F238E27FC236}">
              <a16:creationId xmlns:a16="http://schemas.microsoft.com/office/drawing/2014/main" id="{33A47FE8-9CAE-0C90-B5C3-FCC7F7F44A4F}"/>
            </a:ext>
          </a:extLst>
        </xdr:cNvPr>
        <xdr:cNvSpPr txBox="1"/>
      </xdr:nvSpPr>
      <xdr:spPr>
        <a:xfrm>
          <a:off x="1714500" y="925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1097/@674</a:t>
          </a:r>
        </a:p>
        <a:p>
          <a:pPr algn="l"/>
          <a:r>
            <a:rPr lang="en-US" sz="1100"/>
            <a:t>USBM1X4</a:t>
          </a:r>
        </a:p>
        <a:p>
          <a:pPr algn="l"/>
          <a:r>
            <a:rPr lang="en-US" sz="1100"/>
            <a:t>-11.09dBm In</a:t>
          </a:r>
        </a:p>
        <a:p>
          <a:pPr algn="l"/>
          <a:r>
            <a:rPr lang="en-US" sz="1100"/>
            <a:t>-18.33dBm Out</a:t>
          </a:r>
        </a:p>
      </xdr:txBody>
    </xdr:sp>
    <xdr:clientData/>
  </xdr:oneCellAnchor>
  <xdr:oneCellAnchor>
    <xdr:from>
      <xdr:col>2</xdr:col>
      <xdr:colOff>38100</xdr:colOff>
      <xdr:row>42</xdr:row>
      <xdr:rowOff>77437</xdr:rowOff>
    </xdr:from>
    <xdr:ext cx="529119" cy="344838"/>
    <xdr:sp macro="" textlink="">
      <xdr:nvSpPr>
        <xdr:cNvPr id="41" name="TextBox 40">
          <a:extLst>
            <a:ext uri="{FF2B5EF4-FFF2-40B4-BE49-F238E27FC236}">
              <a16:creationId xmlns:a16="http://schemas.microsoft.com/office/drawing/2014/main" id="{38A97E19-E48C-4E36-8310-D5E20BD3FE82}"/>
            </a:ext>
          </a:extLst>
        </xdr:cNvPr>
        <xdr:cNvSpPr txBox="1"/>
      </xdr:nvSpPr>
      <xdr:spPr>
        <a:xfrm>
          <a:off x="1257300" y="8126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639</a:t>
          </a:r>
        </a:p>
        <a:p>
          <a:pPr algn="ctr"/>
          <a:r>
            <a:rPr lang="en-US" sz="1100"/>
            <a:t>Feet</a:t>
          </a:r>
        </a:p>
      </xdr:txBody>
    </xdr:sp>
    <xdr:clientData/>
  </xdr:oneCellAnchor>
  <xdr:oneCellAnchor>
    <xdr:from>
      <xdr:col>2</xdr:col>
      <xdr:colOff>495300</xdr:colOff>
      <xdr:row>43</xdr:row>
      <xdr:rowOff>66675</xdr:rowOff>
    </xdr:from>
    <xdr:ext cx="1059649" cy="781240"/>
    <xdr:sp macro="" textlink="">
      <xdr:nvSpPr>
        <xdr:cNvPr id="40" name="TextBox 39">
          <a:extLst>
            <a:ext uri="{FF2B5EF4-FFF2-40B4-BE49-F238E27FC236}">
              <a16:creationId xmlns:a16="http://schemas.microsoft.com/office/drawing/2014/main" id="{AA165655-D2B1-7EE7-DC95-199F83EE9240}"/>
            </a:ext>
          </a:extLst>
        </xdr:cNvPr>
        <xdr:cNvSpPr txBox="1"/>
      </xdr:nvSpPr>
      <xdr:spPr>
        <a:xfrm>
          <a:off x="1714500" y="830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1097/@168</a:t>
          </a:r>
        </a:p>
        <a:p>
          <a:pPr algn="l"/>
          <a:r>
            <a:rPr lang="en-US" sz="1100"/>
            <a:t>USBM1X4</a:t>
          </a:r>
        </a:p>
        <a:p>
          <a:pPr algn="l"/>
          <a:r>
            <a:rPr lang="en-US" sz="1100"/>
            <a:t>-10.95dBm In</a:t>
          </a:r>
        </a:p>
        <a:p>
          <a:pPr algn="l"/>
          <a:r>
            <a:rPr lang="en-US" sz="1100"/>
            <a:t>-18.19dBm Out</a:t>
          </a:r>
        </a:p>
      </xdr:txBody>
    </xdr:sp>
    <xdr:clientData/>
  </xdr:oneCellAnchor>
  <xdr:oneCellAnchor>
    <xdr:from>
      <xdr:col>2</xdr:col>
      <xdr:colOff>38100</xdr:colOff>
      <xdr:row>37</xdr:row>
      <xdr:rowOff>77437</xdr:rowOff>
    </xdr:from>
    <xdr:ext cx="529119" cy="344838"/>
    <xdr:sp macro="" textlink="">
      <xdr:nvSpPr>
        <xdr:cNvPr id="35" name="TextBox 34">
          <a:extLst>
            <a:ext uri="{FF2B5EF4-FFF2-40B4-BE49-F238E27FC236}">
              <a16:creationId xmlns:a16="http://schemas.microsoft.com/office/drawing/2014/main" id="{3D9EFF94-337F-A2B1-97DF-1EFD30FDE69B}"/>
            </a:ext>
          </a:extLst>
        </xdr:cNvPr>
        <xdr:cNvSpPr txBox="1"/>
      </xdr:nvSpPr>
      <xdr:spPr>
        <a:xfrm>
          <a:off x="1257300" y="717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653</a:t>
          </a:r>
        </a:p>
        <a:p>
          <a:pPr algn="ctr"/>
          <a:r>
            <a:rPr lang="en-US" sz="1100"/>
            <a:t>Feet</a:t>
          </a:r>
        </a:p>
      </xdr:txBody>
    </xdr:sp>
    <xdr:clientData/>
  </xdr:oneCellAnchor>
  <xdr:oneCellAnchor>
    <xdr:from>
      <xdr:col>2</xdr:col>
      <xdr:colOff>495300</xdr:colOff>
      <xdr:row>38</xdr:row>
      <xdr:rowOff>66675</xdr:rowOff>
    </xdr:from>
    <xdr:ext cx="1059649" cy="781240"/>
    <xdr:sp macro="" textlink="">
      <xdr:nvSpPr>
        <xdr:cNvPr id="34" name="TextBox 33">
          <a:extLst>
            <a:ext uri="{FF2B5EF4-FFF2-40B4-BE49-F238E27FC236}">
              <a16:creationId xmlns:a16="http://schemas.microsoft.com/office/drawing/2014/main" id="{D9436AAC-8E47-AAD5-6128-C920982BBB62}"/>
            </a:ext>
          </a:extLst>
        </xdr:cNvPr>
        <xdr:cNvSpPr txBox="1"/>
      </xdr:nvSpPr>
      <xdr:spPr>
        <a:xfrm>
          <a:off x="1714500" y="735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1097/@164</a:t>
          </a:r>
        </a:p>
        <a:p>
          <a:pPr algn="l"/>
          <a:r>
            <a:rPr lang="en-US" sz="1100"/>
            <a:t>USBM1X4</a:t>
          </a:r>
        </a:p>
        <a:p>
          <a:pPr algn="l"/>
          <a:r>
            <a:rPr lang="en-US" sz="1100"/>
            <a:t>-10.85dBm In</a:t>
          </a:r>
        </a:p>
        <a:p>
          <a:pPr algn="l"/>
          <a:r>
            <a:rPr lang="en-US" sz="1100"/>
            <a:t>-18.09dBm Out</a:t>
          </a:r>
        </a:p>
      </xdr:txBody>
    </xdr:sp>
    <xdr:clientData/>
  </xdr:oneCellAnchor>
  <xdr:oneCellAnchor>
    <xdr:from>
      <xdr:col>2</xdr:col>
      <xdr:colOff>38100</xdr:colOff>
      <xdr:row>32</xdr:row>
      <xdr:rowOff>77437</xdr:rowOff>
    </xdr:from>
    <xdr:ext cx="529119" cy="344838"/>
    <xdr:sp macro="" textlink="">
      <xdr:nvSpPr>
        <xdr:cNvPr id="29" name="TextBox 28">
          <a:extLst>
            <a:ext uri="{FF2B5EF4-FFF2-40B4-BE49-F238E27FC236}">
              <a16:creationId xmlns:a16="http://schemas.microsoft.com/office/drawing/2014/main" id="{E16672B1-0A6A-8D07-44CA-77CB74CBB86E}"/>
            </a:ext>
          </a:extLst>
        </xdr:cNvPr>
        <xdr:cNvSpPr txBox="1"/>
      </xdr:nvSpPr>
      <xdr:spPr>
        <a:xfrm>
          <a:off x="1257300" y="622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762</a:t>
          </a:r>
        </a:p>
        <a:p>
          <a:pPr algn="ctr"/>
          <a:r>
            <a:rPr lang="en-US" sz="1100"/>
            <a:t>Feet</a:t>
          </a:r>
        </a:p>
      </xdr:txBody>
    </xdr:sp>
    <xdr:clientData/>
  </xdr:oneCellAnchor>
  <xdr:oneCellAnchor>
    <xdr:from>
      <xdr:col>2</xdr:col>
      <xdr:colOff>495300</xdr:colOff>
      <xdr:row>33</xdr:row>
      <xdr:rowOff>66675</xdr:rowOff>
    </xdr:from>
    <xdr:ext cx="1059649" cy="781240"/>
    <xdr:sp macro="" textlink="">
      <xdr:nvSpPr>
        <xdr:cNvPr id="28" name="TextBox 27">
          <a:extLst>
            <a:ext uri="{FF2B5EF4-FFF2-40B4-BE49-F238E27FC236}">
              <a16:creationId xmlns:a16="http://schemas.microsoft.com/office/drawing/2014/main" id="{9E69E03F-E3DF-9293-4F02-DDE9DF3E7C63}"/>
            </a:ext>
          </a:extLst>
        </xdr:cNvPr>
        <xdr:cNvSpPr txBox="1"/>
      </xdr:nvSpPr>
      <xdr:spPr>
        <a:xfrm>
          <a:off x="1714500" y="640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1097/@160</a:t>
          </a:r>
        </a:p>
        <a:p>
          <a:pPr algn="l"/>
          <a:r>
            <a:rPr lang="en-US" sz="1100"/>
            <a:t>USBM1X4</a:t>
          </a:r>
        </a:p>
        <a:p>
          <a:pPr algn="l"/>
          <a:r>
            <a:rPr lang="en-US" sz="1100"/>
            <a:t>-10.75dBm In</a:t>
          </a:r>
        </a:p>
        <a:p>
          <a:pPr algn="l"/>
          <a:r>
            <a:rPr lang="en-US" sz="1100"/>
            <a:t>-17.99dBm Out</a:t>
          </a:r>
        </a:p>
      </xdr:txBody>
    </xdr:sp>
    <xdr:clientData/>
  </xdr:oneCellAnchor>
  <xdr:oneCellAnchor>
    <xdr:from>
      <xdr:col>2</xdr:col>
      <xdr:colOff>38100</xdr:colOff>
      <xdr:row>27</xdr:row>
      <xdr:rowOff>43966</xdr:rowOff>
    </xdr:from>
    <xdr:ext cx="529119" cy="378309"/>
    <xdr:sp macro="" textlink="">
      <xdr:nvSpPr>
        <xdr:cNvPr id="23" name="TextBox 22">
          <a:extLst>
            <a:ext uri="{FF2B5EF4-FFF2-40B4-BE49-F238E27FC236}">
              <a16:creationId xmlns:a16="http://schemas.microsoft.com/office/drawing/2014/main" id="{EAFDC073-BFC3-CF7E-9C46-818434E30A5C}"/>
            </a:ext>
          </a:extLst>
        </xdr:cNvPr>
        <xdr:cNvSpPr txBox="1"/>
      </xdr:nvSpPr>
      <xdr:spPr>
        <a:xfrm>
          <a:off x="1257300" y="5235091"/>
          <a:ext cx="529119" cy="3783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2821</a:t>
          </a:r>
        </a:p>
        <a:p>
          <a:pPr algn="ctr"/>
          <a:r>
            <a:rPr lang="en-US" sz="1100"/>
            <a:t>Feet</a:t>
          </a:r>
        </a:p>
      </xdr:txBody>
    </xdr:sp>
    <xdr:clientData/>
  </xdr:oneCellAnchor>
  <xdr:oneCellAnchor>
    <xdr:from>
      <xdr:col>2</xdr:col>
      <xdr:colOff>495300</xdr:colOff>
      <xdr:row>28</xdr:row>
      <xdr:rowOff>66675</xdr:rowOff>
    </xdr:from>
    <xdr:ext cx="1059649" cy="781240"/>
    <xdr:sp macro="" textlink="">
      <xdr:nvSpPr>
        <xdr:cNvPr id="22" name="TextBox 21">
          <a:extLst>
            <a:ext uri="{FF2B5EF4-FFF2-40B4-BE49-F238E27FC236}">
              <a16:creationId xmlns:a16="http://schemas.microsoft.com/office/drawing/2014/main" id="{E12FC0B7-2651-8C08-60E3-E3572EF2986F}"/>
            </a:ext>
          </a:extLst>
        </xdr:cNvPr>
        <xdr:cNvSpPr txBox="1"/>
      </xdr:nvSpPr>
      <xdr:spPr>
        <a:xfrm>
          <a:off x="1714500" y="544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1097/@155</a:t>
          </a:r>
        </a:p>
        <a:p>
          <a:pPr algn="l"/>
          <a:r>
            <a:rPr lang="en-US" sz="1100"/>
            <a:t>USBM1X8</a:t>
          </a:r>
        </a:p>
        <a:p>
          <a:pPr algn="l"/>
          <a:r>
            <a:rPr lang="en-US" sz="1100"/>
            <a:t>-10.64dBm In</a:t>
          </a:r>
        </a:p>
        <a:p>
          <a:pPr algn="l"/>
          <a:r>
            <a:rPr lang="en-US" sz="1100"/>
            <a:t>-21.28dBm Out</a:t>
          </a:r>
        </a:p>
      </xdr:txBody>
    </xdr:sp>
    <xdr:clientData/>
  </xdr:oneCellAnchor>
  <xdr:oneCellAnchor>
    <xdr:from>
      <xdr:col>2</xdr:col>
      <xdr:colOff>38100</xdr:colOff>
      <xdr:row>22</xdr:row>
      <xdr:rowOff>43966</xdr:rowOff>
    </xdr:from>
    <xdr:ext cx="529119" cy="378309"/>
    <xdr:sp macro="" textlink="">
      <xdr:nvSpPr>
        <xdr:cNvPr id="19" name="TextBox 18">
          <a:extLst>
            <a:ext uri="{FF2B5EF4-FFF2-40B4-BE49-F238E27FC236}">
              <a16:creationId xmlns:a16="http://schemas.microsoft.com/office/drawing/2014/main" id="{925484B2-1DEB-1BB9-5F4C-192A603B3A0F}"/>
            </a:ext>
          </a:extLst>
        </xdr:cNvPr>
        <xdr:cNvSpPr txBox="1"/>
      </xdr:nvSpPr>
      <xdr:spPr>
        <a:xfrm>
          <a:off x="1257300" y="4282591"/>
          <a:ext cx="529119" cy="3783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1703</a:t>
          </a:r>
        </a:p>
        <a:p>
          <a:pPr algn="ctr"/>
          <a:r>
            <a:rPr lang="en-US" sz="1100"/>
            <a:t>Feet</a:t>
          </a:r>
        </a:p>
      </xdr:txBody>
    </xdr:sp>
    <xdr:clientData/>
  </xdr:oneCellAnchor>
  <xdr:oneCellAnchor>
    <xdr:from>
      <xdr:col>2</xdr:col>
      <xdr:colOff>495300</xdr:colOff>
      <xdr:row>23</xdr:row>
      <xdr:rowOff>66675</xdr:rowOff>
    </xdr:from>
    <xdr:ext cx="1059649" cy="781240"/>
    <xdr:sp macro="" textlink="">
      <xdr:nvSpPr>
        <xdr:cNvPr id="18" name="TextBox 17">
          <a:extLst>
            <a:ext uri="{FF2B5EF4-FFF2-40B4-BE49-F238E27FC236}">
              <a16:creationId xmlns:a16="http://schemas.microsoft.com/office/drawing/2014/main" id="{31C2F2C3-A328-58CA-C7E0-983EBB426765}"/>
            </a:ext>
          </a:extLst>
        </xdr:cNvPr>
        <xdr:cNvSpPr txBox="1"/>
      </xdr:nvSpPr>
      <xdr:spPr>
        <a:xfrm>
          <a:off x="1714500" y="449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1097/137</a:t>
          </a:r>
        </a:p>
        <a:p>
          <a:pPr algn="l"/>
          <a:r>
            <a:rPr lang="en-US" sz="1100"/>
            <a:t>N/A</a:t>
          </a:r>
        </a:p>
        <a:p>
          <a:pPr algn="l"/>
          <a:r>
            <a:rPr lang="en-US" sz="1100"/>
            <a:t>-10.31dBm In</a:t>
          </a:r>
        </a:p>
        <a:p>
          <a:pPr algn="l"/>
          <a:r>
            <a:rPr lang="en-US" sz="1100"/>
            <a:t>-10.34dBm Out</a:t>
          </a:r>
        </a:p>
      </xdr:txBody>
    </xdr:sp>
    <xdr:clientData/>
  </xdr:oneCellAnchor>
  <xdr:oneCellAnchor>
    <xdr:from>
      <xdr:col>2</xdr:col>
      <xdr:colOff>38100</xdr:colOff>
      <xdr:row>17</xdr:row>
      <xdr:rowOff>77437</xdr:rowOff>
    </xdr:from>
    <xdr:ext cx="529119" cy="344838"/>
    <xdr:sp macro="" textlink="">
      <xdr:nvSpPr>
        <xdr:cNvPr id="15" name="TextBox 14">
          <a:extLst>
            <a:ext uri="{FF2B5EF4-FFF2-40B4-BE49-F238E27FC236}">
              <a16:creationId xmlns:a16="http://schemas.microsoft.com/office/drawing/2014/main" id="{FE5BF1CE-6DD2-D4C0-BADD-D7D80287EFF2}"/>
            </a:ext>
          </a:extLst>
        </xdr:cNvPr>
        <xdr:cNvSpPr txBox="1"/>
      </xdr:nvSpPr>
      <xdr:spPr>
        <a:xfrm>
          <a:off x="1257300" y="336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706</a:t>
          </a:r>
        </a:p>
        <a:p>
          <a:pPr algn="ctr"/>
          <a:r>
            <a:rPr lang="en-US" sz="1100"/>
            <a:t>Feet</a:t>
          </a:r>
        </a:p>
      </xdr:txBody>
    </xdr:sp>
    <xdr:clientData/>
  </xdr:oneCellAnchor>
  <xdr:oneCellAnchor>
    <xdr:from>
      <xdr:col>2</xdr:col>
      <xdr:colOff>495300</xdr:colOff>
      <xdr:row>18</xdr:row>
      <xdr:rowOff>66675</xdr:rowOff>
    </xdr:from>
    <xdr:ext cx="1059649" cy="781240"/>
    <xdr:sp macro="" textlink="">
      <xdr:nvSpPr>
        <xdr:cNvPr id="14" name="TextBox 13">
          <a:extLst>
            <a:ext uri="{FF2B5EF4-FFF2-40B4-BE49-F238E27FC236}">
              <a16:creationId xmlns:a16="http://schemas.microsoft.com/office/drawing/2014/main" id="{D6906568-8A37-E037-DEB3-66E61F802414}"/>
            </a:ext>
          </a:extLst>
        </xdr:cNvPr>
        <xdr:cNvSpPr txBox="1"/>
      </xdr:nvSpPr>
      <xdr:spPr>
        <a:xfrm>
          <a:off x="1714500" y="354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1097/628</a:t>
          </a:r>
        </a:p>
        <a:p>
          <a:pPr algn="l"/>
          <a:r>
            <a:rPr lang="en-US" sz="1100"/>
            <a:t>N/A</a:t>
          </a:r>
        </a:p>
        <a:p>
          <a:pPr algn="l"/>
          <a:r>
            <a:rPr lang="en-US" sz="1100"/>
            <a:t>-10.10dBm In</a:t>
          </a:r>
        </a:p>
        <a:p>
          <a:pPr algn="l"/>
          <a:r>
            <a:rPr lang="en-US" sz="1100"/>
            <a:t>-10.13dBm Out</a:t>
          </a:r>
        </a:p>
      </xdr:txBody>
    </xdr:sp>
    <xdr:clientData/>
  </xdr:oneCellAnchor>
  <xdr:oneCellAnchor>
    <xdr:from>
      <xdr:col>2</xdr:col>
      <xdr:colOff>38100</xdr:colOff>
      <xdr:row>12</xdr:row>
      <xdr:rowOff>77437</xdr:rowOff>
    </xdr:from>
    <xdr:ext cx="529119" cy="344838"/>
    <xdr:sp macro="" textlink="">
      <xdr:nvSpPr>
        <xdr:cNvPr id="11" name="TextBox 10">
          <a:extLst>
            <a:ext uri="{FF2B5EF4-FFF2-40B4-BE49-F238E27FC236}">
              <a16:creationId xmlns:a16="http://schemas.microsoft.com/office/drawing/2014/main" id="{C489C7E3-B5AC-6617-2ECC-49F5D62FF262}"/>
            </a:ext>
          </a:extLst>
        </xdr:cNvPr>
        <xdr:cNvSpPr txBox="1"/>
      </xdr:nvSpPr>
      <xdr:spPr>
        <a:xfrm>
          <a:off x="1257300" y="241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120</a:t>
          </a:r>
        </a:p>
        <a:p>
          <a:pPr algn="ctr"/>
          <a:r>
            <a:rPr lang="en-US" sz="1100"/>
            <a:t>Feet</a:t>
          </a:r>
        </a:p>
      </xdr:txBody>
    </xdr:sp>
    <xdr:clientData/>
  </xdr:oneCellAnchor>
  <xdr:oneCellAnchor>
    <xdr:from>
      <xdr:col>2</xdr:col>
      <xdr:colOff>495300</xdr:colOff>
      <xdr:row>13</xdr:row>
      <xdr:rowOff>66675</xdr:rowOff>
    </xdr:from>
    <xdr:ext cx="1059649" cy="781240"/>
    <xdr:sp macro="" textlink="">
      <xdr:nvSpPr>
        <xdr:cNvPr id="10" name="TextBox 9">
          <a:extLst>
            <a:ext uri="{FF2B5EF4-FFF2-40B4-BE49-F238E27FC236}">
              <a16:creationId xmlns:a16="http://schemas.microsoft.com/office/drawing/2014/main" id="{927FBD19-C11B-34A3-C9F2-A189DBBD4B91}"/>
            </a:ext>
          </a:extLst>
        </xdr:cNvPr>
        <xdr:cNvSpPr txBox="1"/>
      </xdr:nvSpPr>
      <xdr:spPr>
        <a:xfrm>
          <a:off x="1714500" y="259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1097/124</a:t>
          </a:r>
        </a:p>
        <a:p>
          <a:pPr algn="l"/>
          <a:r>
            <a:rPr lang="en-US" sz="1100"/>
            <a:t>N/A</a:t>
          </a:r>
        </a:p>
        <a:p>
          <a:pPr algn="l"/>
          <a:r>
            <a:rPr lang="en-US" sz="1100"/>
            <a:t>-9.99dBm In</a:t>
          </a:r>
        </a:p>
        <a:p>
          <a:pPr algn="l"/>
          <a:r>
            <a:rPr lang="en-US" sz="1100"/>
            <a:t>-10.02dBm Out</a:t>
          </a:r>
        </a:p>
      </xdr:txBody>
    </xdr:sp>
    <xdr:clientData/>
  </xdr:oneCellAnchor>
  <xdr:oneCellAnchor>
    <xdr:from>
      <xdr:col>2</xdr:col>
      <xdr:colOff>38100</xdr:colOff>
      <xdr:row>6</xdr:row>
      <xdr:rowOff>166337</xdr:rowOff>
    </xdr:from>
    <xdr:ext cx="529119" cy="344838"/>
    <xdr:sp macro="" textlink="">
      <xdr:nvSpPr>
        <xdr:cNvPr id="6" name="TextBox 5">
          <a:extLst>
            <a:ext uri="{FF2B5EF4-FFF2-40B4-BE49-F238E27FC236}">
              <a16:creationId xmlns:a16="http://schemas.microsoft.com/office/drawing/2014/main" id="{6F542C73-9030-54C0-C90C-E65045925C07}"/>
            </a:ext>
          </a:extLst>
        </xdr:cNvPr>
        <xdr:cNvSpPr txBox="1"/>
      </xdr:nvSpPr>
      <xdr:spPr>
        <a:xfrm>
          <a:off x="1257300" y="13569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200</a:t>
          </a:r>
        </a:p>
        <a:p>
          <a:pPr algn="ctr"/>
          <a:r>
            <a:rPr lang="en-US" sz="1100"/>
            <a:t>Feet</a:t>
          </a:r>
        </a:p>
      </xdr:txBody>
    </xdr:sp>
    <xdr:clientData/>
  </xdr:oneCellAnchor>
  <xdr:twoCellAnchor>
    <xdr:from>
      <xdr:col>2</xdr:col>
      <xdr:colOff>0</xdr:colOff>
      <xdr:row>3</xdr:row>
      <xdr:rowOff>79375</xdr:rowOff>
    </xdr:from>
    <xdr:to>
      <xdr:col>3</xdr:col>
      <xdr:colOff>0</xdr:colOff>
      <xdr:row>6</xdr:row>
      <xdr:rowOff>15875</xdr:rowOff>
    </xdr:to>
    <xdr:sp macro="" textlink="">
      <xdr:nvSpPr>
        <xdr:cNvPr id="2" name="sym_OLT">
          <a:extLst>
            <a:ext uri="{FF2B5EF4-FFF2-40B4-BE49-F238E27FC236}">
              <a16:creationId xmlns:a16="http://schemas.microsoft.com/office/drawing/2014/main" id="{03C74080-C273-6276-DA10-0CA75EE29E94}"/>
            </a:ext>
          </a:extLst>
        </xdr:cNvPr>
        <xdr:cNvSpPr/>
      </xdr:nvSpPr>
      <xdr:spPr>
        <a:xfrm>
          <a:off x="1219200" y="698500"/>
          <a:ext cx="609600" cy="508000"/>
        </a:xfrm>
        <a:prstGeom prst="hex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OLT</a:t>
          </a:r>
        </a:p>
        <a:p>
          <a:pPr algn="ctr"/>
          <a:r>
            <a:rPr lang="en-US" sz="1100"/>
            <a:t>Port</a:t>
          </a:r>
        </a:p>
      </xdr:txBody>
    </xdr:sp>
    <xdr:clientData/>
  </xdr:twoCellAnchor>
  <xdr:oneCellAnchor>
    <xdr:from>
      <xdr:col>1</xdr:col>
      <xdr:colOff>279400</xdr:colOff>
      <xdr:row>1</xdr:row>
      <xdr:rowOff>142875</xdr:rowOff>
    </xdr:from>
    <xdr:ext cx="1378454" cy="264560"/>
    <xdr:sp macro="" textlink="">
      <xdr:nvSpPr>
        <xdr:cNvPr id="3" name="txt_OLT">
          <a:extLst>
            <a:ext uri="{FF2B5EF4-FFF2-40B4-BE49-F238E27FC236}">
              <a16:creationId xmlns:a16="http://schemas.microsoft.com/office/drawing/2014/main" id="{3B90123B-779A-E7A4-1B13-FD473DDF456A}"/>
            </a:ext>
          </a:extLst>
        </xdr:cNvPr>
        <xdr:cNvSpPr txBox="1"/>
      </xdr:nvSpPr>
      <xdr:spPr>
        <a:xfrm>
          <a:off x="889000" y="381000"/>
          <a:ext cx="1378454"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ctr"/>
          <a:r>
            <a:rPr lang="en-US" sz="1100"/>
            <a:t>Output Power = 3.25</a:t>
          </a:r>
        </a:p>
      </xdr:txBody>
    </xdr:sp>
    <xdr:clientData/>
  </xdr:oneCellAnchor>
  <xdr:twoCellAnchor>
    <xdr:from>
      <xdr:col>1</xdr:col>
      <xdr:colOff>304800</xdr:colOff>
      <xdr:row>9</xdr:row>
      <xdr:rowOff>3175</xdr:rowOff>
    </xdr:from>
    <xdr:to>
      <xdr:col>3</xdr:col>
      <xdr:colOff>304800</xdr:colOff>
      <xdr:row>11</xdr:row>
      <xdr:rowOff>130175</xdr:rowOff>
    </xdr:to>
    <xdr:sp macro="" textlink="">
      <xdr:nvSpPr>
        <xdr:cNvPr id="4" name="sym_LS">
          <a:extLst>
            <a:ext uri="{FF2B5EF4-FFF2-40B4-BE49-F238E27FC236}">
              <a16:creationId xmlns:a16="http://schemas.microsoft.com/office/drawing/2014/main" id="{ED129703-1962-2578-D166-27C944A31216}"/>
            </a:ext>
          </a:extLst>
        </xdr:cNvPr>
        <xdr:cNvSpPr/>
      </xdr:nvSpPr>
      <xdr:spPr>
        <a:xfrm>
          <a:off x="914400" y="1765300"/>
          <a:ext cx="1219200" cy="508000"/>
        </a:xfrm>
        <a:prstGeom prst="su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1x16</a:t>
          </a:r>
        </a:p>
      </xdr:txBody>
    </xdr:sp>
    <xdr:clientData/>
  </xdr:twoCellAnchor>
  <xdr:twoCellAnchor>
    <xdr:from>
      <xdr:col>2</xdr:col>
      <xdr:colOff>304800</xdr:colOff>
      <xdr:row>6</xdr:row>
      <xdr:rowOff>15875</xdr:rowOff>
    </xdr:from>
    <xdr:to>
      <xdr:col>2</xdr:col>
      <xdr:colOff>304800</xdr:colOff>
      <xdr:row>9</xdr:row>
      <xdr:rowOff>15875</xdr:rowOff>
    </xdr:to>
    <xdr:cxnSp macro="">
      <xdr:nvCxnSpPr>
        <xdr:cNvPr id="5" name="lin_Splitter 3_Feeder">
          <a:extLst>
            <a:ext uri="{FF2B5EF4-FFF2-40B4-BE49-F238E27FC236}">
              <a16:creationId xmlns:a16="http://schemas.microsoft.com/office/drawing/2014/main" id="{21639301-B6BF-FDB3-D556-C4CADE3F9353}"/>
            </a:ext>
          </a:extLst>
        </xdr:cNvPr>
        <xdr:cNvCxnSpPr/>
      </xdr:nvCxnSpPr>
      <xdr:spPr>
        <a:xfrm>
          <a:off x="1524000" y="12065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304800</xdr:colOff>
      <xdr:row>9</xdr:row>
      <xdr:rowOff>130175</xdr:rowOff>
    </xdr:from>
    <xdr:ext cx="988156" cy="264560"/>
    <xdr:sp macro="" textlink="">
      <xdr:nvSpPr>
        <xdr:cNvPr id="7" name="txt_LS">
          <a:extLst>
            <a:ext uri="{FF2B5EF4-FFF2-40B4-BE49-F238E27FC236}">
              <a16:creationId xmlns:a16="http://schemas.microsoft.com/office/drawing/2014/main" id="{68321454-9962-31FF-7F0C-54B8FED1EADE}"/>
            </a:ext>
          </a:extLst>
        </xdr:cNvPr>
        <xdr:cNvSpPr txBox="1"/>
      </xdr:nvSpPr>
      <xdr:spPr>
        <a:xfrm>
          <a:off x="2133600" y="1892300"/>
          <a:ext cx="988156"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ctr"/>
          <a:r>
            <a:rPr lang="en-US" sz="1100"/>
            <a:t>-9.94dBm Out</a:t>
          </a:r>
        </a:p>
      </xdr:txBody>
    </xdr:sp>
    <xdr:clientData/>
  </xdr:oneCellAnchor>
  <xdr:twoCellAnchor>
    <xdr:from>
      <xdr:col>2</xdr:col>
      <xdr:colOff>114300</xdr:colOff>
      <xdr:row>14</xdr:row>
      <xdr:rowOff>66675</xdr:rowOff>
    </xdr:from>
    <xdr:to>
      <xdr:col>2</xdr:col>
      <xdr:colOff>495300</xdr:colOff>
      <xdr:row>16</xdr:row>
      <xdr:rowOff>66675</xdr:rowOff>
    </xdr:to>
    <xdr:sp macro="" textlink="">
      <xdr:nvSpPr>
        <xdr:cNvPr id="8" name="sym_Splitter 3_8" descr="Splitter 2~44">
          <a:extLst>
            <a:ext uri="{FF2B5EF4-FFF2-40B4-BE49-F238E27FC236}">
              <a16:creationId xmlns:a16="http://schemas.microsoft.com/office/drawing/2014/main" id="{FEAE379F-94BD-9EE3-6ACE-FC028204158E}"/>
            </a:ext>
          </a:extLst>
        </xdr:cNvPr>
        <xdr:cNvSpPr/>
      </xdr:nvSpPr>
      <xdr:spPr>
        <a:xfrm>
          <a:off x="1333500" y="278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2</xdr:col>
      <xdr:colOff>304800</xdr:colOff>
      <xdr:row>11</xdr:row>
      <xdr:rowOff>130175</xdr:rowOff>
    </xdr:from>
    <xdr:to>
      <xdr:col>2</xdr:col>
      <xdr:colOff>304800</xdr:colOff>
      <xdr:row>14</xdr:row>
      <xdr:rowOff>130175</xdr:rowOff>
    </xdr:to>
    <xdr:cxnSp macro="">
      <xdr:nvCxnSpPr>
        <xdr:cNvPr id="9" name="lin_Splitter 3_8">
          <a:extLst>
            <a:ext uri="{FF2B5EF4-FFF2-40B4-BE49-F238E27FC236}">
              <a16:creationId xmlns:a16="http://schemas.microsoft.com/office/drawing/2014/main" id="{BB47525A-5B0E-9BB6-ABE2-74CB76848951}"/>
            </a:ext>
          </a:extLst>
        </xdr:cNvPr>
        <xdr:cNvCxnSpPr/>
      </xdr:nvCxnSpPr>
      <xdr:spPr>
        <a:xfrm>
          <a:off x="1524000" y="2273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19</xdr:row>
      <xdr:rowOff>66675</xdr:rowOff>
    </xdr:from>
    <xdr:to>
      <xdr:col>2</xdr:col>
      <xdr:colOff>495300</xdr:colOff>
      <xdr:row>21</xdr:row>
      <xdr:rowOff>66675</xdr:rowOff>
    </xdr:to>
    <xdr:sp macro="" textlink="">
      <xdr:nvSpPr>
        <xdr:cNvPr id="12" name="sym_Splitter 3_9">
          <a:extLst>
            <a:ext uri="{FF2B5EF4-FFF2-40B4-BE49-F238E27FC236}">
              <a16:creationId xmlns:a16="http://schemas.microsoft.com/office/drawing/2014/main" id="{E331EB86-1D82-5027-5250-3DC0A8CCF644}"/>
            </a:ext>
          </a:extLst>
        </xdr:cNvPr>
        <xdr:cNvSpPr/>
      </xdr:nvSpPr>
      <xdr:spPr>
        <a:xfrm>
          <a:off x="1333500" y="373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2</a:t>
          </a:r>
        </a:p>
      </xdr:txBody>
    </xdr:sp>
    <xdr:clientData/>
  </xdr:twoCellAnchor>
  <xdr:twoCellAnchor>
    <xdr:from>
      <xdr:col>2</xdr:col>
      <xdr:colOff>304800</xdr:colOff>
      <xdr:row>16</xdr:row>
      <xdr:rowOff>66675</xdr:rowOff>
    </xdr:from>
    <xdr:to>
      <xdr:col>2</xdr:col>
      <xdr:colOff>304800</xdr:colOff>
      <xdr:row>19</xdr:row>
      <xdr:rowOff>66675</xdr:rowOff>
    </xdr:to>
    <xdr:cxnSp macro="">
      <xdr:nvCxnSpPr>
        <xdr:cNvPr id="13" name="lin_Splitter 3_9">
          <a:extLst>
            <a:ext uri="{FF2B5EF4-FFF2-40B4-BE49-F238E27FC236}">
              <a16:creationId xmlns:a16="http://schemas.microsoft.com/office/drawing/2014/main" id="{11115DCE-0B39-CEAF-C276-54C21E3501B3}"/>
            </a:ext>
          </a:extLst>
        </xdr:cNvPr>
        <xdr:cNvCxnSpPr/>
      </xdr:nvCxnSpPr>
      <xdr:spPr>
        <a:xfrm>
          <a:off x="1524000" y="316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24</xdr:row>
      <xdr:rowOff>66675</xdr:rowOff>
    </xdr:from>
    <xdr:to>
      <xdr:col>2</xdr:col>
      <xdr:colOff>495300</xdr:colOff>
      <xdr:row>26</xdr:row>
      <xdr:rowOff>66675</xdr:rowOff>
    </xdr:to>
    <xdr:sp macro="" textlink="">
      <xdr:nvSpPr>
        <xdr:cNvPr id="16" name="sym_Splitter 3_10">
          <a:extLst>
            <a:ext uri="{FF2B5EF4-FFF2-40B4-BE49-F238E27FC236}">
              <a16:creationId xmlns:a16="http://schemas.microsoft.com/office/drawing/2014/main" id="{04B961D1-3B20-D849-91A4-13A6B55BADC7}"/>
            </a:ext>
          </a:extLst>
        </xdr:cNvPr>
        <xdr:cNvSpPr/>
      </xdr:nvSpPr>
      <xdr:spPr>
        <a:xfrm>
          <a:off x="1333500" y="468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3</a:t>
          </a:r>
        </a:p>
      </xdr:txBody>
    </xdr:sp>
    <xdr:clientData/>
  </xdr:twoCellAnchor>
  <xdr:twoCellAnchor>
    <xdr:from>
      <xdr:col>2</xdr:col>
      <xdr:colOff>304800</xdr:colOff>
      <xdr:row>21</xdr:row>
      <xdr:rowOff>66675</xdr:rowOff>
    </xdr:from>
    <xdr:to>
      <xdr:col>2</xdr:col>
      <xdr:colOff>304800</xdr:colOff>
      <xdr:row>24</xdr:row>
      <xdr:rowOff>66675</xdr:rowOff>
    </xdr:to>
    <xdr:cxnSp macro="">
      <xdr:nvCxnSpPr>
        <xdr:cNvPr id="17" name="lin_Splitter 3_10">
          <a:extLst>
            <a:ext uri="{FF2B5EF4-FFF2-40B4-BE49-F238E27FC236}">
              <a16:creationId xmlns:a16="http://schemas.microsoft.com/office/drawing/2014/main" id="{3A5A257B-C074-DB4F-3012-FC84B9FD1038}"/>
            </a:ext>
          </a:extLst>
        </xdr:cNvPr>
        <xdr:cNvCxnSpPr/>
      </xdr:nvCxnSpPr>
      <xdr:spPr>
        <a:xfrm>
          <a:off x="1524000" y="4114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29</xdr:row>
      <xdr:rowOff>66675</xdr:rowOff>
    </xdr:from>
    <xdr:to>
      <xdr:col>2</xdr:col>
      <xdr:colOff>495300</xdr:colOff>
      <xdr:row>31</xdr:row>
      <xdr:rowOff>66675</xdr:rowOff>
    </xdr:to>
    <xdr:sp macro="" textlink="">
      <xdr:nvSpPr>
        <xdr:cNvPr id="20" name="sym_Splitter 3_11">
          <a:extLst>
            <a:ext uri="{FF2B5EF4-FFF2-40B4-BE49-F238E27FC236}">
              <a16:creationId xmlns:a16="http://schemas.microsoft.com/office/drawing/2014/main" id="{5EF3EBD5-FEF2-D692-107A-C5CC79F613FD}"/>
            </a:ext>
          </a:extLst>
        </xdr:cNvPr>
        <xdr:cNvSpPr/>
      </xdr:nvSpPr>
      <xdr:spPr>
        <a:xfrm>
          <a:off x="1333500" y="563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4</a:t>
          </a:r>
        </a:p>
      </xdr:txBody>
    </xdr:sp>
    <xdr:clientData/>
  </xdr:twoCellAnchor>
  <xdr:twoCellAnchor>
    <xdr:from>
      <xdr:col>2</xdr:col>
      <xdr:colOff>304800</xdr:colOff>
      <xdr:row>26</xdr:row>
      <xdr:rowOff>66675</xdr:rowOff>
    </xdr:from>
    <xdr:to>
      <xdr:col>2</xdr:col>
      <xdr:colOff>304800</xdr:colOff>
      <xdr:row>29</xdr:row>
      <xdr:rowOff>66675</xdr:rowOff>
    </xdr:to>
    <xdr:cxnSp macro="">
      <xdr:nvCxnSpPr>
        <xdr:cNvPr id="21" name="lin_Splitter 3_11">
          <a:extLst>
            <a:ext uri="{FF2B5EF4-FFF2-40B4-BE49-F238E27FC236}">
              <a16:creationId xmlns:a16="http://schemas.microsoft.com/office/drawing/2014/main" id="{E7C2C027-5062-C770-B036-63B35752E208}"/>
            </a:ext>
          </a:extLst>
        </xdr:cNvPr>
        <xdr:cNvCxnSpPr/>
      </xdr:nvCxnSpPr>
      <xdr:spPr>
        <a:xfrm>
          <a:off x="1524000" y="506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30</xdr:row>
      <xdr:rowOff>66675</xdr:rowOff>
    </xdr:from>
    <xdr:to>
      <xdr:col>1</xdr:col>
      <xdr:colOff>326981</xdr:colOff>
      <xdr:row>32</xdr:row>
      <xdr:rowOff>30128</xdr:rowOff>
    </xdr:to>
    <xdr:sp macro="" textlink="">
      <xdr:nvSpPr>
        <xdr:cNvPr id="24" name="Rectangle 23">
          <a:extLst>
            <a:ext uri="{FF2B5EF4-FFF2-40B4-BE49-F238E27FC236}">
              <a16:creationId xmlns:a16="http://schemas.microsoft.com/office/drawing/2014/main" id="{8A67F6C5-FA18-BBA0-4648-12BD518CB612}"/>
            </a:ext>
          </a:extLst>
        </xdr:cNvPr>
        <xdr:cNvSpPr/>
      </xdr:nvSpPr>
      <xdr:spPr>
        <a:xfrm>
          <a:off x="282619" y="582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-21.63dBm</a:t>
          </a:r>
        </a:p>
      </xdr:txBody>
    </xdr:sp>
    <xdr:clientData/>
  </xdr:twoCellAnchor>
  <xdr:twoCellAnchor>
    <xdr:from>
      <xdr:col>1</xdr:col>
      <xdr:colOff>326981</xdr:colOff>
      <xdr:row>30</xdr:row>
      <xdr:rowOff>66675</xdr:rowOff>
    </xdr:from>
    <xdr:to>
      <xdr:col>2</xdr:col>
      <xdr:colOff>114300</xdr:colOff>
      <xdr:row>30</xdr:row>
      <xdr:rowOff>66675</xdr:rowOff>
    </xdr:to>
    <xdr:cxnSp macro="">
      <xdr:nvCxnSpPr>
        <xdr:cNvPr id="25" name="Straight Arrow Connector 24">
          <a:extLst>
            <a:ext uri="{FF2B5EF4-FFF2-40B4-BE49-F238E27FC236}">
              <a16:creationId xmlns:a16="http://schemas.microsoft.com/office/drawing/2014/main" id="{9D2DDEDD-A099-1181-C2F9-638DDC2AE040}"/>
            </a:ext>
          </a:extLst>
        </xdr:cNvPr>
        <xdr:cNvCxnSpPr/>
      </xdr:nvCxnSpPr>
      <xdr:spPr>
        <a:xfrm>
          <a:off x="936581" y="5829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34</xdr:row>
      <xdr:rowOff>66675</xdr:rowOff>
    </xdr:from>
    <xdr:to>
      <xdr:col>2</xdr:col>
      <xdr:colOff>495300</xdr:colOff>
      <xdr:row>36</xdr:row>
      <xdr:rowOff>66675</xdr:rowOff>
    </xdr:to>
    <xdr:sp macro="" textlink="">
      <xdr:nvSpPr>
        <xdr:cNvPr id="26" name="sym_Splitter 3_12">
          <a:extLst>
            <a:ext uri="{FF2B5EF4-FFF2-40B4-BE49-F238E27FC236}">
              <a16:creationId xmlns:a16="http://schemas.microsoft.com/office/drawing/2014/main" id="{C897F94E-B04B-1064-D57F-BF7E624D28C8}"/>
            </a:ext>
          </a:extLst>
        </xdr:cNvPr>
        <xdr:cNvSpPr/>
      </xdr:nvSpPr>
      <xdr:spPr>
        <a:xfrm>
          <a:off x="1333500" y="659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5</a:t>
          </a:r>
        </a:p>
      </xdr:txBody>
    </xdr:sp>
    <xdr:clientData/>
  </xdr:twoCellAnchor>
  <xdr:twoCellAnchor>
    <xdr:from>
      <xdr:col>2</xdr:col>
      <xdr:colOff>304800</xdr:colOff>
      <xdr:row>31</xdr:row>
      <xdr:rowOff>66675</xdr:rowOff>
    </xdr:from>
    <xdr:to>
      <xdr:col>2</xdr:col>
      <xdr:colOff>304800</xdr:colOff>
      <xdr:row>34</xdr:row>
      <xdr:rowOff>66675</xdr:rowOff>
    </xdr:to>
    <xdr:cxnSp macro="">
      <xdr:nvCxnSpPr>
        <xdr:cNvPr id="27" name="lin_Splitter 3_12">
          <a:extLst>
            <a:ext uri="{FF2B5EF4-FFF2-40B4-BE49-F238E27FC236}">
              <a16:creationId xmlns:a16="http://schemas.microsoft.com/office/drawing/2014/main" id="{2844680E-8742-8F5B-ADCD-14CED291ABE7}"/>
            </a:ext>
          </a:extLst>
        </xdr:cNvPr>
        <xdr:cNvCxnSpPr/>
      </xdr:nvCxnSpPr>
      <xdr:spPr>
        <a:xfrm>
          <a:off x="1524000" y="6019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35</xdr:row>
      <xdr:rowOff>66675</xdr:rowOff>
    </xdr:from>
    <xdr:to>
      <xdr:col>1</xdr:col>
      <xdr:colOff>326981</xdr:colOff>
      <xdr:row>37</xdr:row>
      <xdr:rowOff>30128</xdr:rowOff>
    </xdr:to>
    <xdr:sp macro="" textlink="">
      <xdr:nvSpPr>
        <xdr:cNvPr id="30" name="Rectangle 29">
          <a:extLst>
            <a:ext uri="{FF2B5EF4-FFF2-40B4-BE49-F238E27FC236}">
              <a16:creationId xmlns:a16="http://schemas.microsoft.com/office/drawing/2014/main" id="{465DC75C-0303-68A3-25BD-A3BCDB797392}"/>
            </a:ext>
          </a:extLst>
        </xdr:cNvPr>
        <xdr:cNvSpPr/>
      </xdr:nvSpPr>
      <xdr:spPr>
        <a:xfrm>
          <a:off x="282619" y="6781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-18.34dBm</a:t>
          </a:r>
        </a:p>
      </xdr:txBody>
    </xdr:sp>
    <xdr:clientData/>
  </xdr:twoCellAnchor>
  <xdr:twoCellAnchor>
    <xdr:from>
      <xdr:col>1</xdr:col>
      <xdr:colOff>326981</xdr:colOff>
      <xdr:row>35</xdr:row>
      <xdr:rowOff>66675</xdr:rowOff>
    </xdr:from>
    <xdr:to>
      <xdr:col>2</xdr:col>
      <xdr:colOff>114300</xdr:colOff>
      <xdr:row>35</xdr:row>
      <xdr:rowOff>66675</xdr:rowOff>
    </xdr:to>
    <xdr:cxnSp macro="">
      <xdr:nvCxnSpPr>
        <xdr:cNvPr id="31" name="Straight Arrow Connector 30">
          <a:extLst>
            <a:ext uri="{FF2B5EF4-FFF2-40B4-BE49-F238E27FC236}">
              <a16:creationId xmlns:a16="http://schemas.microsoft.com/office/drawing/2014/main" id="{6E978948-9AB0-3FB0-8A12-185A128B7ACD}"/>
            </a:ext>
          </a:extLst>
        </xdr:cNvPr>
        <xdr:cNvCxnSpPr/>
      </xdr:nvCxnSpPr>
      <xdr:spPr>
        <a:xfrm>
          <a:off x="936581" y="6781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39</xdr:row>
      <xdr:rowOff>66675</xdr:rowOff>
    </xdr:from>
    <xdr:to>
      <xdr:col>2</xdr:col>
      <xdr:colOff>495300</xdr:colOff>
      <xdr:row>41</xdr:row>
      <xdr:rowOff>66675</xdr:rowOff>
    </xdr:to>
    <xdr:sp macro="" textlink="">
      <xdr:nvSpPr>
        <xdr:cNvPr id="32" name="sym_Splitter 3_13">
          <a:extLst>
            <a:ext uri="{FF2B5EF4-FFF2-40B4-BE49-F238E27FC236}">
              <a16:creationId xmlns:a16="http://schemas.microsoft.com/office/drawing/2014/main" id="{DA0C1F54-20D4-62A7-27C7-C57CE69A0175}"/>
            </a:ext>
          </a:extLst>
        </xdr:cNvPr>
        <xdr:cNvSpPr/>
      </xdr:nvSpPr>
      <xdr:spPr>
        <a:xfrm>
          <a:off x="1333500" y="754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6</a:t>
          </a:r>
        </a:p>
      </xdr:txBody>
    </xdr:sp>
    <xdr:clientData/>
  </xdr:twoCellAnchor>
  <xdr:twoCellAnchor>
    <xdr:from>
      <xdr:col>2</xdr:col>
      <xdr:colOff>304800</xdr:colOff>
      <xdr:row>36</xdr:row>
      <xdr:rowOff>66675</xdr:rowOff>
    </xdr:from>
    <xdr:to>
      <xdr:col>2</xdr:col>
      <xdr:colOff>304800</xdr:colOff>
      <xdr:row>39</xdr:row>
      <xdr:rowOff>66675</xdr:rowOff>
    </xdr:to>
    <xdr:cxnSp macro="">
      <xdr:nvCxnSpPr>
        <xdr:cNvPr id="33" name="lin_Splitter 3_13">
          <a:extLst>
            <a:ext uri="{FF2B5EF4-FFF2-40B4-BE49-F238E27FC236}">
              <a16:creationId xmlns:a16="http://schemas.microsoft.com/office/drawing/2014/main" id="{DF4BCA1E-8B0D-0E74-3219-7F7E37E749FA}"/>
            </a:ext>
          </a:extLst>
        </xdr:cNvPr>
        <xdr:cNvCxnSpPr/>
      </xdr:nvCxnSpPr>
      <xdr:spPr>
        <a:xfrm>
          <a:off x="1524000" y="697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40</xdr:row>
      <xdr:rowOff>66675</xdr:rowOff>
    </xdr:from>
    <xdr:to>
      <xdr:col>1</xdr:col>
      <xdr:colOff>326981</xdr:colOff>
      <xdr:row>42</xdr:row>
      <xdr:rowOff>30128</xdr:rowOff>
    </xdr:to>
    <xdr:sp macro="" textlink="">
      <xdr:nvSpPr>
        <xdr:cNvPr id="36" name="Rectangle 35">
          <a:extLst>
            <a:ext uri="{FF2B5EF4-FFF2-40B4-BE49-F238E27FC236}">
              <a16:creationId xmlns:a16="http://schemas.microsoft.com/office/drawing/2014/main" id="{AD16CC60-9C9C-00B0-3A3B-6651210A668A}"/>
            </a:ext>
          </a:extLst>
        </xdr:cNvPr>
        <xdr:cNvSpPr/>
      </xdr:nvSpPr>
      <xdr:spPr>
        <a:xfrm>
          <a:off x="282619" y="7734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-18.45dBm</a:t>
          </a:r>
        </a:p>
      </xdr:txBody>
    </xdr:sp>
    <xdr:clientData/>
  </xdr:twoCellAnchor>
  <xdr:twoCellAnchor>
    <xdr:from>
      <xdr:col>1</xdr:col>
      <xdr:colOff>326981</xdr:colOff>
      <xdr:row>40</xdr:row>
      <xdr:rowOff>66675</xdr:rowOff>
    </xdr:from>
    <xdr:to>
      <xdr:col>2</xdr:col>
      <xdr:colOff>114300</xdr:colOff>
      <xdr:row>40</xdr:row>
      <xdr:rowOff>66675</xdr:rowOff>
    </xdr:to>
    <xdr:cxnSp macro="">
      <xdr:nvCxnSpPr>
        <xdr:cNvPr id="37" name="Straight Arrow Connector 36">
          <a:extLst>
            <a:ext uri="{FF2B5EF4-FFF2-40B4-BE49-F238E27FC236}">
              <a16:creationId xmlns:a16="http://schemas.microsoft.com/office/drawing/2014/main" id="{9B7D131E-C848-9873-C169-8A1ADF47565F}"/>
            </a:ext>
          </a:extLst>
        </xdr:cNvPr>
        <xdr:cNvCxnSpPr/>
      </xdr:nvCxnSpPr>
      <xdr:spPr>
        <a:xfrm>
          <a:off x="936581" y="7734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44</xdr:row>
      <xdr:rowOff>66675</xdr:rowOff>
    </xdr:from>
    <xdr:to>
      <xdr:col>2</xdr:col>
      <xdr:colOff>495300</xdr:colOff>
      <xdr:row>46</xdr:row>
      <xdr:rowOff>66675</xdr:rowOff>
    </xdr:to>
    <xdr:sp macro="" textlink="">
      <xdr:nvSpPr>
        <xdr:cNvPr id="38" name="sym_Splitter 3_14">
          <a:extLst>
            <a:ext uri="{FF2B5EF4-FFF2-40B4-BE49-F238E27FC236}">
              <a16:creationId xmlns:a16="http://schemas.microsoft.com/office/drawing/2014/main" id="{B90C386B-5E0B-0E38-EF13-53037B1B44FF}"/>
            </a:ext>
          </a:extLst>
        </xdr:cNvPr>
        <xdr:cNvSpPr/>
      </xdr:nvSpPr>
      <xdr:spPr>
        <a:xfrm>
          <a:off x="1333500" y="849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7</a:t>
          </a:r>
        </a:p>
      </xdr:txBody>
    </xdr:sp>
    <xdr:clientData/>
  </xdr:twoCellAnchor>
  <xdr:twoCellAnchor>
    <xdr:from>
      <xdr:col>2</xdr:col>
      <xdr:colOff>304800</xdr:colOff>
      <xdr:row>41</xdr:row>
      <xdr:rowOff>66675</xdr:rowOff>
    </xdr:from>
    <xdr:to>
      <xdr:col>2</xdr:col>
      <xdr:colOff>304800</xdr:colOff>
      <xdr:row>44</xdr:row>
      <xdr:rowOff>66675</xdr:rowOff>
    </xdr:to>
    <xdr:cxnSp macro="">
      <xdr:nvCxnSpPr>
        <xdr:cNvPr id="39" name="lin_Splitter 3_14">
          <a:extLst>
            <a:ext uri="{FF2B5EF4-FFF2-40B4-BE49-F238E27FC236}">
              <a16:creationId xmlns:a16="http://schemas.microsoft.com/office/drawing/2014/main" id="{150691D8-AB90-1D63-793F-A7AA525EE84D}"/>
            </a:ext>
          </a:extLst>
        </xdr:cNvPr>
        <xdr:cNvCxnSpPr/>
      </xdr:nvCxnSpPr>
      <xdr:spPr>
        <a:xfrm>
          <a:off x="1524000" y="7924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45</xdr:row>
      <xdr:rowOff>66675</xdr:rowOff>
    </xdr:from>
    <xdr:to>
      <xdr:col>1</xdr:col>
      <xdr:colOff>326981</xdr:colOff>
      <xdr:row>47</xdr:row>
      <xdr:rowOff>30128</xdr:rowOff>
    </xdr:to>
    <xdr:sp macro="" textlink="">
      <xdr:nvSpPr>
        <xdr:cNvPr id="42" name="Rectangle 41">
          <a:extLst>
            <a:ext uri="{FF2B5EF4-FFF2-40B4-BE49-F238E27FC236}">
              <a16:creationId xmlns:a16="http://schemas.microsoft.com/office/drawing/2014/main" id="{E24381EB-4182-11D1-74C1-D42E3E1B9CC6}"/>
            </a:ext>
          </a:extLst>
        </xdr:cNvPr>
        <xdr:cNvSpPr/>
      </xdr:nvSpPr>
      <xdr:spPr>
        <a:xfrm>
          <a:off x="282619" y="8686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-18.55dBm</a:t>
          </a:r>
        </a:p>
      </xdr:txBody>
    </xdr:sp>
    <xdr:clientData/>
  </xdr:twoCellAnchor>
  <xdr:twoCellAnchor>
    <xdr:from>
      <xdr:col>1</xdr:col>
      <xdr:colOff>326981</xdr:colOff>
      <xdr:row>45</xdr:row>
      <xdr:rowOff>66675</xdr:rowOff>
    </xdr:from>
    <xdr:to>
      <xdr:col>2</xdr:col>
      <xdr:colOff>114300</xdr:colOff>
      <xdr:row>45</xdr:row>
      <xdr:rowOff>66675</xdr:rowOff>
    </xdr:to>
    <xdr:cxnSp macro="">
      <xdr:nvCxnSpPr>
        <xdr:cNvPr id="43" name="Straight Arrow Connector 42">
          <a:extLst>
            <a:ext uri="{FF2B5EF4-FFF2-40B4-BE49-F238E27FC236}">
              <a16:creationId xmlns:a16="http://schemas.microsoft.com/office/drawing/2014/main" id="{6FDBABF9-1E20-C84C-D428-E9B48301A9FD}"/>
            </a:ext>
          </a:extLst>
        </xdr:cNvPr>
        <xdr:cNvCxnSpPr/>
      </xdr:nvCxnSpPr>
      <xdr:spPr>
        <a:xfrm>
          <a:off x="936581" y="8686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49</xdr:row>
      <xdr:rowOff>66675</xdr:rowOff>
    </xdr:from>
    <xdr:to>
      <xdr:col>2</xdr:col>
      <xdr:colOff>495300</xdr:colOff>
      <xdr:row>51</xdr:row>
      <xdr:rowOff>66675</xdr:rowOff>
    </xdr:to>
    <xdr:sp macro="" textlink="">
      <xdr:nvSpPr>
        <xdr:cNvPr id="44" name="sym_Splitter 3_15">
          <a:extLst>
            <a:ext uri="{FF2B5EF4-FFF2-40B4-BE49-F238E27FC236}">
              <a16:creationId xmlns:a16="http://schemas.microsoft.com/office/drawing/2014/main" id="{976C88D7-D260-91DD-D29A-878B5B9F5E45}"/>
            </a:ext>
          </a:extLst>
        </xdr:cNvPr>
        <xdr:cNvSpPr/>
      </xdr:nvSpPr>
      <xdr:spPr>
        <a:xfrm>
          <a:off x="1333500" y="944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8</a:t>
          </a:r>
        </a:p>
      </xdr:txBody>
    </xdr:sp>
    <xdr:clientData/>
  </xdr:twoCellAnchor>
  <xdr:twoCellAnchor>
    <xdr:from>
      <xdr:col>2</xdr:col>
      <xdr:colOff>304800</xdr:colOff>
      <xdr:row>46</xdr:row>
      <xdr:rowOff>66675</xdr:rowOff>
    </xdr:from>
    <xdr:to>
      <xdr:col>2</xdr:col>
      <xdr:colOff>304800</xdr:colOff>
      <xdr:row>49</xdr:row>
      <xdr:rowOff>66675</xdr:rowOff>
    </xdr:to>
    <xdr:cxnSp macro="">
      <xdr:nvCxnSpPr>
        <xdr:cNvPr id="45" name="lin_Splitter 3_15">
          <a:extLst>
            <a:ext uri="{FF2B5EF4-FFF2-40B4-BE49-F238E27FC236}">
              <a16:creationId xmlns:a16="http://schemas.microsoft.com/office/drawing/2014/main" id="{55B12CB0-3A6D-1FBC-496A-A9D2D4BA9D76}"/>
            </a:ext>
          </a:extLst>
        </xdr:cNvPr>
        <xdr:cNvCxnSpPr/>
      </xdr:nvCxnSpPr>
      <xdr:spPr>
        <a:xfrm>
          <a:off x="1524000" y="887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50</xdr:row>
      <xdr:rowOff>66675</xdr:rowOff>
    </xdr:from>
    <xdr:to>
      <xdr:col>1</xdr:col>
      <xdr:colOff>326981</xdr:colOff>
      <xdr:row>52</xdr:row>
      <xdr:rowOff>30128</xdr:rowOff>
    </xdr:to>
    <xdr:sp macro="" textlink="">
      <xdr:nvSpPr>
        <xdr:cNvPr id="48" name="Rectangle 47">
          <a:extLst>
            <a:ext uri="{FF2B5EF4-FFF2-40B4-BE49-F238E27FC236}">
              <a16:creationId xmlns:a16="http://schemas.microsoft.com/office/drawing/2014/main" id="{214BFF78-EF02-5885-C064-70197F8FC077}"/>
            </a:ext>
          </a:extLst>
        </xdr:cNvPr>
        <xdr:cNvSpPr/>
      </xdr:nvSpPr>
      <xdr:spPr>
        <a:xfrm>
          <a:off x="282619" y="963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-18.69dBm</a:t>
          </a:r>
        </a:p>
      </xdr:txBody>
    </xdr:sp>
    <xdr:clientData/>
  </xdr:twoCellAnchor>
  <xdr:twoCellAnchor>
    <xdr:from>
      <xdr:col>1</xdr:col>
      <xdr:colOff>326981</xdr:colOff>
      <xdr:row>50</xdr:row>
      <xdr:rowOff>66675</xdr:rowOff>
    </xdr:from>
    <xdr:to>
      <xdr:col>2</xdr:col>
      <xdr:colOff>114300</xdr:colOff>
      <xdr:row>50</xdr:row>
      <xdr:rowOff>66675</xdr:rowOff>
    </xdr:to>
    <xdr:cxnSp macro="">
      <xdr:nvCxnSpPr>
        <xdr:cNvPr id="49" name="Straight Arrow Connector 48">
          <a:extLst>
            <a:ext uri="{FF2B5EF4-FFF2-40B4-BE49-F238E27FC236}">
              <a16:creationId xmlns:a16="http://schemas.microsoft.com/office/drawing/2014/main" id="{0ADDA21C-5117-7FE1-91E0-E9C2DABCEFF6}"/>
            </a:ext>
          </a:extLst>
        </xdr:cNvPr>
        <xdr:cNvCxnSpPr/>
      </xdr:nvCxnSpPr>
      <xdr:spPr>
        <a:xfrm>
          <a:off x="936581" y="9639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54</xdr:row>
      <xdr:rowOff>66675</xdr:rowOff>
    </xdr:from>
    <xdr:to>
      <xdr:col>2</xdr:col>
      <xdr:colOff>495300</xdr:colOff>
      <xdr:row>56</xdr:row>
      <xdr:rowOff>66675</xdr:rowOff>
    </xdr:to>
    <xdr:sp macro="" textlink="">
      <xdr:nvSpPr>
        <xdr:cNvPr id="50" name="sym_Splitter 3_16">
          <a:extLst>
            <a:ext uri="{FF2B5EF4-FFF2-40B4-BE49-F238E27FC236}">
              <a16:creationId xmlns:a16="http://schemas.microsoft.com/office/drawing/2014/main" id="{1D640FAE-0DC9-76F1-0F82-CA5BF457B6D7}"/>
            </a:ext>
          </a:extLst>
        </xdr:cNvPr>
        <xdr:cNvSpPr/>
      </xdr:nvSpPr>
      <xdr:spPr>
        <a:xfrm>
          <a:off x="1333500" y="1040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9</a:t>
          </a:r>
        </a:p>
      </xdr:txBody>
    </xdr:sp>
    <xdr:clientData/>
  </xdr:twoCellAnchor>
  <xdr:twoCellAnchor>
    <xdr:from>
      <xdr:col>2</xdr:col>
      <xdr:colOff>304800</xdr:colOff>
      <xdr:row>51</xdr:row>
      <xdr:rowOff>66675</xdr:rowOff>
    </xdr:from>
    <xdr:to>
      <xdr:col>2</xdr:col>
      <xdr:colOff>304800</xdr:colOff>
      <xdr:row>54</xdr:row>
      <xdr:rowOff>66675</xdr:rowOff>
    </xdr:to>
    <xdr:cxnSp macro="">
      <xdr:nvCxnSpPr>
        <xdr:cNvPr id="51" name="lin_Splitter 3_16">
          <a:extLst>
            <a:ext uri="{FF2B5EF4-FFF2-40B4-BE49-F238E27FC236}">
              <a16:creationId xmlns:a16="http://schemas.microsoft.com/office/drawing/2014/main" id="{B8E95068-9ECC-E3D8-4364-2E50AC4ADC71}"/>
            </a:ext>
          </a:extLst>
        </xdr:cNvPr>
        <xdr:cNvCxnSpPr/>
      </xdr:nvCxnSpPr>
      <xdr:spPr>
        <a:xfrm>
          <a:off x="1524000" y="9829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55</xdr:row>
      <xdr:rowOff>66675</xdr:rowOff>
    </xdr:from>
    <xdr:to>
      <xdr:col>1</xdr:col>
      <xdr:colOff>326981</xdr:colOff>
      <xdr:row>57</xdr:row>
      <xdr:rowOff>30128</xdr:rowOff>
    </xdr:to>
    <xdr:sp macro="" textlink="">
      <xdr:nvSpPr>
        <xdr:cNvPr id="54" name="Rectangle 53">
          <a:extLst>
            <a:ext uri="{FF2B5EF4-FFF2-40B4-BE49-F238E27FC236}">
              <a16:creationId xmlns:a16="http://schemas.microsoft.com/office/drawing/2014/main" id="{065D7132-B47B-439D-D696-C04EDC3564D8}"/>
            </a:ext>
          </a:extLst>
        </xdr:cNvPr>
        <xdr:cNvSpPr/>
      </xdr:nvSpPr>
      <xdr:spPr>
        <a:xfrm>
          <a:off x="282619" y="10591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-18.83dBm</a:t>
          </a:r>
        </a:p>
      </xdr:txBody>
    </xdr:sp>
    <xdr:clientData/>
  </xdr:twoCellAnchor>
  <xdr:twoCellAnchor>
    <xdr:from>
      <xdr:col>1</xdr:col>
      <xdr:colOff>326981</xdr:colOff>
      <xdr:row>55</xdr:row>
      <xdr:rowOff>66675</xdr:rowOff>
    </xdr:from>
    <xdr:to>
      <xdr:col>2</xdr:col>
      <xdr:colOff>114300</xdr:colOff>
      <xdr:row>55</xdr:row>
      <xdr:rowOff>66675</xdr:rowOff>
    </xdr:to>
    <xdr:cxnSp macro="">
      <xdr:nvCxnSpPr>
        <xdr:cNvPr id="55" name="Straight Arrow Connector 54">
          <a:extLst>
            <a:ext uri="{FF2B5EF4-FFF2-40B4-BE49-F238E27FC236}">
              <a16:creationId xmlns:a16="http://schemas.microsoft.com/office/drawing/2014/main" id="{CDE1A828-80E7-0588-91EF-0647113301FC}"/>
            </a:ext>
          </a:extLst>
        </xdr:cNvPr>
        <xdr:cNvCxnSpPr/>
      </xdr:nvCxnSpPr>
      <xdr:spPr>
        <a:xfrm>
          <a:off x="936581" y="10591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495300</xdr:colOff>
      <xdr:row>40</xdr:row>
      <xdr:rowOff>66675</xdr:rowOff>
    </xdr:from>
    <xdr:to>
      <xdr:col>8</xdr:col>
      <xdr:colOff>0</xdr:colOff>
      <xdr:row>40</xdr:row>
      <xdr:rowOff>66675</xdr:rowOff>
    </xdr:to>
    <xdr:cxnSp macro="">
      <xdr:nvCxnSpPr>
        <xdr:cNvPr id="56" name="Straight Arrow Connector 55">
          <a:extLst>
            <a:ext uri="{FF2B5EF4-FFF2-40B4-BE49-F238E27FC236}">
              <a16:creationId xmlns:a16="http://schemas.microsoft.com/office/drawing/2014/main" id="{C52ED142-323D-F8BA-AD4C-C57402145666}"/>
            </a:ext>
          </a:extLst>
        </xdr:cNvPr>
        <xdr:cNvCxnSpPr/>
      </xdr:nvCxnSpPr>
      <xdr:spPr>
        <a:xfrm>
          <a:off x="1714500" y="7734300"/>
          <a:ext cx="31623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419100</xdr:colOff>
      <xdr:row>44</xdr:row>
      <xdr:rowOff>66675</xdr:rowOff>
    </xdr:from>
    <xdr:to>
      <xdr:col>8</xdr:col>
      <xdr:colOff>190500</xdr:colOff>
      <xdr:row>46</xdr:row>
      <xdr:rowOff>66675</xdr:rowOff>
    </xdr:to>
    <xdr:sp macro="" textlink="">
      <xdr:nvSpPr>
        <xdr:cNvPr id="58" name="sym_Splitter 3_104" descr="Splitter 3~13">
          <a:extLst>
            <a:ext uri="{FF2B5EF4-FFF2-40B4-BE49-F238E27FC236}">
              <a16:creationId xmlns:a16="http://schemas.microsoft.com/office/drawing/2014/main" id="{FC1A539C-29D3-C9AB-2E3A-1509A2B1F68B}"/>
            </a:ext>
          </a:extLst>
        </xdr:cNvPr>
        <xdr:cNvSpPr/>
      </xdr:nvSpPr>
      <xdr:spPr>
        <a:xfrm>
          <a:off x="4686300" y="849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8</xdr:col>
      <xdr:colOff>0</xdr:colOff>
      <xdr:row>40</xdr:row>
      <xdr:rowOff>66675</xdr:rowOff>
    </xdr:from>
    <xdr:to>
      <xdr:col>8</xdr:col>
      <xdr:colOff>0</xdr:colOff>
      <xdr:row>44</xdr:row>
      <xdr:rowOff>66675</xdr:rowOff>
    </xdr:to>
    <xdr:cxnSp macro="">
      <xdr:nvCxnSpPr>
        <xdr:cNvPr id="59" name="lin_Splitter 3_104">
          <a:extLst>
            <a:ext uri="{FF2B5EF4-FFF2-40B4-BE49-F238E27FC236}">
              <a16:creationId xmlns:a16="http://schemas.microsoft.com/office/drawing/2014/main" id="{D607C9A7-BC17-C9C7-1677-20314BDF67F9}"/>
            </a:ext>
          </a:extLst>
        </xdr:cNvPr>
        <xdr:cNvCxnSpPr/>
      </xdr:nvCxnSpPr>
      <xdr:spPr>
        <a:xfrm>
          <a:off x="4876800" y="7734300"/>
          <a:ext cx="0" cy="7620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587419</xdr:colOff>
      <xdr:row>45</xdr:row>
      <xdr:rowOff>66675</xdr:rowOff>
    </xdr:from>
    <xdr:to>
      <xdr:col>7</xdr:col>
      <xdr:colOff>22181</xdr:colOff>
      <xdr:row>47</xdr:row>
      <xdr:rowOff>30128</xdr:rowOff>
    </xdr:to>
    <xdr:sp macro="" textlink="">
      <xdr:nvSpPr>
        <xdr:cNvPr id="62" name="Rectangle 61">
          <a:extLst>
            <a:ext uri="{FF2B5EF4-FFF2-40B4-BE49-F238E27FC236}">
              <a16:creationId xmlns:a16="http://schemas.microsoft.com/office/drawing/2014/main" id="{43CCDFBE-87D5-218C-49E3-299BABC965D6}"/>
            </a:ext>
          </a:extLst>
        </xdr:cNvPr>
        <xdr:cNvSpPr/>
      </xdr:nvSpPr>
      <xdr:spPr>
        <a:xfrm>
          <a:off x="3635419" y="8686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-19.48dBm</a:t>
          </a:r>
        </a:p>
      </xdr:txBody>
    </xdr:sp>
    <xdr:clientData/>
  </xdr:twoCellAnchor>
  <xdr:twoCellAnchor>
    <xdr:from>
      <xdr:col>7</xdr:col>
      <xdr:colOff>22181</xdr:colOff>
      <xdr:row>45</xdr:row>
      <xdr:rowOff>66675</xdr:rowOff>
    </xdr:from>
    <xdr:to>
      <xdr:col>7</xdr:col>
      <xdr:colOff>419100</xdr:colOff>
      <xdr:row>45</xdr:row>
      <xdr:rowOff>66675</xdr:rowOff>
    </xdr:to>
    <xdr:cxnSp macro="">
      <xdr:nvCxnSpPr>
        <xdr:cNvPr id="63" name="Straight Arrow Connector 62">
          <a:extLst>
            <a:ext uri="{FF2B5EF4-FFF2-40B4-BE49-F238E27FC236}">
              <a16:creationId xmlns:a16="http://schemas.microsoft.com/office/drawing/2014/main" id="{85F2799B-3C2C-C529-C279-C604230F162E}"/>
            </a:ext>
          </a:extLst>
        </xdr:cNvPr>
        <xdr:cNvCxnSpPr/>
      </xdr:nvCxnSpPr>
      <xdr:spPr>
        <a:xfrm>
          <a:off x="4289381" y="8686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419100</xdr:colOff>
      <xdr:row>49</xdr:row>
      <xdr:rowOff>66675</xdr:rowOff>
    </xdr:from>
    <xdr:to>
      <xdr:col>8</xdr:col>
      <xdr:colOff>190500</xdr:colOff>
      <xdr:row>51</xdr:row>
      <xdr:rowOff>66675</xdr:rowOff>
    </xdr:to>
    <xdr:sp macro="" textlink="">
      <xdr:nvSpPr>
        <xdr:cNvPr id="64" name="sym_Splitter 3_105">
          <a:extLst>
            <a:ext uri="{FF2B5EF4-FFF2-40B4-BE49-F238E27FC236}">
              <a16:creationId xmlns:a16="http://schemas.microsoft.com/office/drawing/2014/main" id="{AA08441C-2F66-B781-506A-8100ED5E42F6}"/>
            </a:ext>
          </a:extLst>
        </xdr:cNvPr>
        <xdr:cNvSpPr/>
      </xdr:nvSpPr>
      <xdr:spPr>
        <a:xfrm>
          <a:off x="4686300" y="944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2</a:t>
          </a:r>
        </a:p>
      </xdr:txBody>
    </xdr:sp>
    <xdr:clientData/>
  </xdr:twoCellAnchor>
  <xdr:twoCellAnchor>
    <xdr:from>
      <xdr:col>8</xdr:col>
      <xdr:colOff>0</xdr:colOff>
      <xdr:row>46</xdr:row>
      <xdr:rowOff>66675</xdr:rowOff>
    </xdr:from>
    <xdr:to>
      <xdr:col>8</xdr:col>
      <xdr:colOff>0</xdr:colOff>
      <xdr:row>49</xdr:row>
      <xdr:rowOff>66675</xdr:rowOff>
    </xdr:to>
    <xdr:cxnSp macro="">
      <xdr:nvCxnSpPr>
        <xdr:cNvPr id="65" name="lin_Splitter 3_105">
          <a:extLst>
            <a:ext uri="{FF2B5EF4-FFF2-40B4-BE49-F238E27FC236}">
              <a16:creationId xmlns:a16="http://schemas.microsoft.com/office/drawing/2014/main" id="{D45CC055-6311-7E80-CC00-27479F2B193B}"/>
            </a:ext>
          </a:extLst>
        </xdr:cNvPr>
        <xdr:cNvCxnSpPr/>
      </xdr:nvCxnSpPr>
      <xdr:spPr>
        <a:xfrm>
          <a:off x="4876800" y="887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587419</xdr:colOff>
      <xdr:row>50</xdr:row>
      <xdr:rowOff>66675</xdr:rowOff>
    </xdr:from>
    <xdr:to>
      <xdr:col>7</xdr:col>
      <xdr:colOff>22181</xdr:colOff>
      <xdr:row>52</xdr:row>
      <xdr:rowOff>30128</xdr:rowOff>
    </xdr:to>
    <xdr:sp macro="" textlink="">
      <xdr:nvSpPr>
        <xdr:cNvPr id="68" name="Rectangle 67">
          <a:extLst>
            <a:ext uri="{FF2B5EF4-FFF2-40B4-BE49-F238E27FC236}">
              <a16:creationId xmlns:a16="http://schemas.microsoft.com/office/drawing/2014/main" id="{80D7FC81-D667-9774-C6F5-BD6313A6EE1F}"/>
            </a:ext>
          </a:extLst>
        </xdr:cNvPr>
        <xdr:cNvSpPr/>
      </xdr:nvSpPr>
      <xdr:spPr>
        <a:xfrm>
          <a:off x="3635419" y="963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-19.58dBm</a:t>
          </a:r>
        </a:p>
      </xdr:txBody>
    </xdr:sp>
    <xdr:clientData/>
  </xdr:twoCellAnchor>
  <xdr:twoCellAnchor>
    <xdr:from>
      <xdr:col>7</xdr:col>
      <xdr:colOff>22181</xdr:colOff>
      <xdr:row>50</xdr:row>
      <xdr:rowOff>66675</xdr:rowOff>
    </xdr:from>
    <xdr:to>
      <xdr:col>7</xdr:col>
      <xdr:colOff>419100</xdr:colOff>
      <xdr:row>50</xdr:row>
      <xdr:rowOff>66675</xdr:rowOff>
    </xdr:to>
    <xdr:cxnSp macro="">
      <xdr:nvCxnSpPr>
        <xdr:cNvPr id="69" name="Straight Arrow Connector 68">
          <a:extLst>
            <a:ext uri="{FF2B5EF4-FFF2-40B4-BE49-F238E27FC236}">
              <a16:creationId xmlns:a16="http://schemas.microsoft.com/office/drawing/2014/main" id="{ABCCE690-5ECA-EC76-83D1-E322B4F77A0F}"/>
            </a:ext>
          </a:extLst>
        </xdr:cNvPr>
        <xdr:cNvCxnSpPr/>
      </xdr:nvCxnSpPr>
      <xdr:spPr>
        <a:xfrm>
          <a:off x="4289381" y="9639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419100</xdr:colOff>
      <xdr:row>54</xdr:row>
      <xdr:rowOff>66675</xdr:rowOff>
    </xdr:from>
    <xdr:to>
      <xdr:col>8</xdr:col>
      <xdr:colOff>190500</xdr:colOff>
      <xdr:row>56</xdr:row>
      <xdr:rowOff>66675</xdr:rowOff>
    </xdr:to>
    <xdr:sp macro="" textlink="">
      <xdr:nvSpPr>
        <xdr:cNvPr id="70" name="sym_Splitter 3_106">
          <a:extLst>
            <a:ext uri="{FF2B5EF4-FFF2-40B4-BE49-F238E27FC236}">
              <a16:creationId xmlns:a16="http://schemas.microsoft.com/office/drawing/2014/main" id="{26D702BF-929C-E654-0014-7233B3F79510}"/>
            </a:ext>
          </a:extLst>
        </xdr:cNvPr>
        <xdr:cNvSpPr/>
      </xdr:nvSpPr>
      <xdr:spPr>
        <a:xfrm>
          <a:off x="4686300" y="1040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3</a:t>
          </a:r>
        </a:p>
      </xdr:txBody>
    </xdr:sp>
    <xdr:clientData/>
  </xdr:twoCellAnchor>
  <xdr:twoCellAnchor>
    <xdr:from>
      <xdr:col>8</xdr:col>
      <xdr:colOff>0</xdr:colOff>
      <xdr:row>51</xdr:row>
      <xdr:rowOff>66675</xdr:rowOff>
    </xdr:from>
    <xdr:to>
      <xdr:col>8</xdr:col>
      <xdr:colOff>0</xdr:colOff>
      <xdr:row>54</xdr:row>
      <xdr:rowOff>66675</xdr:rowOff>
    </xdr:to>
    <xdr:cxnSp macro="">
      <xdr:nvCxnSpPr>
        <xdr:cNvPr id="71" name="lin_Splitter 3_106">
          <a:extLst>
            <a:ext uri="{FF2B5EF4-FFF2-40B4-BE49-F238E27FC236}">
              <a16:creationId xmlns:a16="http://schemas.microsoft.com/office/drawing/2014/main" id="{881117E5-AEE8-4119-0278-4CED9AD9AE40}"/>
            </a:ext>
          </a:extLst>
        </xdr:cNvPr>
        <xdr:cNvCxnSpPr/>
      </xdr:nvCxnSpPr>
      <xdr:spPr>
        <a:xfrm>
          <a:off x="4876800" y="9829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587419</xdr:colOff>
      <xdr:row>55</xdr:row>
      <xdr:rowOff>66675</xdr:rowOff>
    </xdr:from>
    <xdr:to>
      <xdr:col>7</xdr:col>
      <xdr:colOff>22181</xdr:colOff>
      <xdr:row>57</xdr:row>
      <xdr:rowOff>30128</xdr:rowOff>
    </xdr:to>
    <xdr:sp macro="" textlink="">
      <xdr:nvSpPr>
        <xdr:cNvPr id="74" name="Rectangle 73">
          <a:extLst>
            <a:ext uri="{FF2B5EF4-FFF2-40B4-BE49-F238E27FC236}">
              <a16:creationId xmlns:a16="http://schemas.microsoft.com/office/drawing/2014/main" id="{2EE30DBE-4056-D1EE-16EC-AC7D2170F4E0}"/>
            </a:ext>
          </a:extLst>
        </xdr:cNvPr>
        <xdr:cNvSpPr/>
      </xdr:nvSpPr>
      <xdr:spPr>
        <a:xfrm>
          <a:off x="3635419" y="10591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-23.07dBm</a:t>
          </a:r>
        </a:p>
      </xdr:txBody>
    </xdr:sp>
    <xdr:clientData/>
  </xdr:twoCellAnchor>
  <xdr:twoCellAnchor>
    <xdr:from>
      <xdr:col>7</xdr:col>
      <xdr:colOff>22181</xdr:colOff>
      <xdr:row>55</xdr:row>
      <xdr:rowOff>66675</xdr:rowOff>
    </xdr:from>
    <xdr:to>
      <xdr:col>7</xdr:col>
      <xdr:colOff>419100</xdr:colOff>
      <xdr:row>55</xdr:row>
      <xdr:rowOff>66675</xdr:rowOff>
    </xdr:to>
    <xdr:cxnSp macro="">
      <xdr:nvCxnSpPr>
        <xdr:cNvPr id="75" name="Straight Arrow Connector 74">
          <a:extLst>
            <a:ext uri="{FF2B5EF4-FFF2-40B4-BE49-F238E27FC236}">
              <a16:creationId xmlns:a16="http://schemas.microsoft.com/office/drawing/2014/main" id="{42BACA47-B24C-A4C4-1AE2-DAFF7B1B708F}"/>
            </a:ext>
          </a:extLst>
        </xdr:cNvPr>
        <xdr:cNvCxnSpPr/>
      </xdr:nvCxnSpPr>
      <xdr:spPr>
        <a:xfrm>
          <a:off x="4289381" y="10591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419100</xdr:colOff>
      <xdr:row>59</xdr:row>
      <xdr:rowOff>66675</xdr:rowOff>
    </xdr:from>
    <xdr:to>
      <xdr:col>8</xdr:col>
      <xdr:colOff>190500</xdr:colOff>
      <xdr:row>61</xdr:row>
      <xdr:rowOff>66675</xdr:rowOff>
    </xdr:to>
    <xdr:sp macro="" textlink="">
      <xdr:nvSpPr>
        <xdr:cNvPr id="76" name="sym_Splitter 3_107">
          <a:extLst>
            <a:ext uri="{FF2B5EF4-FFF2-40B4-BE49-F238E27FC236}">
              <a16:creationId xmlns:a16="http://schemas.microsoft.com/office/drawing/2014/main" id="{C4167534-CFA8-FF9A-76B3-22D5926B230D}"/>
            </a:ext>
          </a:extLst>
        </xdr:cNvPr>
        <xdr:cNvSpPr/>
      </xdr:nvSpPr>
      <xdr:spPr>
        <a:xfrm>
          <a:off x="4686300" y="1135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4</a:t>
          </a:r>
        </a:p>
      </xdr:txBody>
    </xdr:sp>
    <xdr:clientData/>
  </xdr:twoCellAnchor>
  <xdr:twoCellAnchor>
    <xdr:from>
      <xdr:col>8</xdr:col>
      <xdr:colOff>0</xdr:colOff>
      <xdr:row>56</xdr:row>
      <xdr:rowOff>66675</xdr:rowOff>
    </xdr:from>
    <xdr:to>
      <xdr:col>8</xdr:col>
      <xdr:colOff>0</xdr:colOff>
      <xdr:row>59</xdr:row>
      <xdr:rowOff>66675</xdr:rowOff>
    </xdr:to>
    <xdr:cxnSp macro="">
      <xdr:nvCxnSpPr>
        <xdr:cNvPr id="77" name="lin_Splitter 3_107">
          <a:extLst>
            <a:ext uri="{FF2B5EF4-FFF2-40B4-BE49-F238E27FC236}">
              <a16:creationId xmlns:a16="http://schemas.microsoft.com/office/drawing/2014/main" id="{1A36F4A7-3A3E-5D5C-F428-33B534A61BC3}"/>
            </a:ext>
          </a:extLst>
        </xdr:cNvPr>
        <xdr:cNvCxnSpPr/>
      </xdr:nvCxnSpPr>
      <xdr:spPr>
        <a:xfrm>
          <a:off x="4876800" y="1078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419100</xdr:colOff>
      <xdr:row>64</xdr:row>
      <xdr:rowOff>66675</xdr:rowOff>
    </xdr:from>
    <xdr:to>
      <xdr:col>8</xdr:col>
      <xdr:colOff>190500</xdr:colOff>
      <xdr:row>66</xdr:row>
      <xdr:rowOff>66675</xdr:rowOff>
    </xdr:to>
    <xdr:sp macro="" textlink="">
      <xdr:nvSpPr>
        <xdr:cNvPr id="80" name="sym_Splitter 3_108">
          <a:extLst>
            <a:ext uri="{FF2B5EF4-FFF2-40B4-BE49-F238E27FC236}">
              <a16:creationId xmlns:a16="http://schemas.microsoft.com/office/drawing/2014/main" id="{B74AB134-6876-0AE2-E2A9-8596B8BF05B1}"/>
            </a:ext>
          </a:extLst>
        </xdr:cNvPr>
        <xdr:cNvSpPr/>
      </xdr:nvSpPr>
      <xdr:spPr>
        <a:xfrm>
          <a:off x="4686300" y="1230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5</a:t>
          </a:r>
        </a:p>
      </xdr:txBody>
    </xdr:sp>
    <xdr:clientData/>
  </xdr:twoCellAnchor>
  <xdr:twoCellAnchor>
    <xdr:from>
      <xdr:col>8</xdr:col>
      <xdr:colOff>0</xdr:colOff>
      <xdr:row>61</xdr:row>
      <xdr:rowOff>66675</xdr:rowOff>
    </xdr:from>
    <xdr:to>
      <xdr:col>8</xdr:col>
      <xdr:colOff>0</xdr:colOff>
      <xdr:row>64</xdr:row>
      <xdr:rowOff>66675</xdr:rowOff>
    </xdr:to>
    <xdr:cxnSp macro="">
      <xdr:nvCxnSpPr>
        <xdr:cNvPr id="81" name="lin_Splitter 3_108">
          <a:extLst>
            <a:ext uri="{FF2B5EF4-FFF2-40B4-BE49-F238E27FC236}">
              <a16:creationId xmlns:a16="http://schemas.microsoft.com/office/drawing/2014/main" id="{8811C9B6-EF1F-E14B-3B97-D87ED3938D0C}"/>
            </a:ext>
          </a:extLst>
        </xdr:cNvPr>
        <xdr:cNvCxnSpPr/>
      </xdr:nvCxnSpPr>
      <xdr:spPr>
        <a:xfrm>
          <a:off x="4876800" y="11734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587419</xdr:colOff>
      <xdr:row>65</xdr:row>
      <xdr:rowOff>66675</xdr:rowOff>
    </xdr:from>
    <xdr:to>
      <xdr:col>7</xdr:col>
      <xdr:colOff>22181</xdr:colOff>
      <xdr:row>67</xdr:row>
      <xdr:rowOff>30128</xdr:rowOff>
    </xdr:to>
    <xdr:sp macro="" textlink="">
      <xdr:nvSpPr>
        <xdr:cNvPr id="84" name="Rectangle 83">
          <a:extLst>
            <a:ext uri="{FF2B5EF4-FFF2-40B4-BE49-F238E27FC236}">
              <a16:creationId xmlns:a16="http://schemas.microsoft.com/office/drawing/2014/main" id="{FD4B22B2-7203-DC7C-CC21-F03C8EC164CF}"/>
            </a:ext>
          </a:extLst>
        </xdr:cNvPr>
        <xdr:cNvSpPr/>
      </xdr:nvSpPr>
      <xdr:spPr>
        <a:xfrm>
          <a:off x="3635419" y="12496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-19.87dBm</a:t>
          </a:r>
        </a:p>
      </xdr:txBody>
    </xdr:sp>
    <xdr:clientData/>
  </xdr:twoCellAnchor>
  <xdr:twoCellAnchor>
    <xdr:from>
      <xdr:col>7</xdr:col>
      <xdr:colOff>22181</xdr:colOff>
      <xdr:row>65</xdr:row>
      <xdr:rowOff>66675</xdr:rowOff>
    </xdr:from>
    <xdr:to>
      <xdr:col>7</xdr:col>
      <xdr:colOff>419100</xdr:colOff>
      <xdr:row>65</xdr:row>
      <xdr:rowOff>66675</xdr:rowOff>
    </xdr:to>
    <xdr:cxnSp macro="">
      <xdr:nvCxnSpPr>
        <xdr:cNvPr id="85" name="Straight Arrow Connector 84">
          <a:extLst>
            <a:ext uri="{FF2B5EF4-FFF2-40B4-BE49-F238E27FC236}">
              <a16:creationId xmlns:a16="http://schemas.microsoft.com/office/drawing/2014/main" id="{E3397997-D758-ED2C-AC97-F07114559096}"/>
            </a:ext>
          </a:extLst>
        </xdr:cNvPr>
        <xdr:cNvCxnSpPr/>
      </xdr:nvCxnSpPr>
      <xdr:spPr>
        <a:xfrm>
          <a:off x="4289381" y="12496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419100</xdr:colOff>
      <xdr:row>69</xdr:row>
      <xdr:rowOff>66675</xdr:rowOff>
    </xdr:from>
    <xdr:to>
      <xdr:col>8</xdr:col>
      <xdr:colOff>190500</xdr:colOff>
      <xdr:row>71</xdr:row>
      <xdr:rowOff>66675</xdr:rowOff>
    </xdr:to>
    <xdr:sp macro="" textlink="">
      <xdr:nvSpPr>
        <xdr:cNvPr id="86" name="sym_Splitter 3_109">
          <a:extLst>
            <a:ext uri="{FF2B5EF4-FFF2-40B4-BE49-F238E27FC236}">
              <a16:creationId xmlns:a16="http://schemas.microsoft.com/office/drawing/2014/main" id="{94B23C2F-DF5D-1651-D840-5C29356A4317}"/>
            </a:ext>
          </a:extLst>
        </xdr:cNvPr>
        <xdr:cNvSpPr/>
      </xdr:nvSpPr>
      <xdr:spPr>
        <a:xfrm>
          <a:off x="4686300" y="1325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6</a:t>
          </a:r>
        </a:p>
      </xdr:txBody>
    </xdr:sp>
    <xdr:clientData/>
  </xdr:twoCellAnchor>
  <xdr:twoCellAnchor>
    <xdr:from>
      <xdr:col>8</xdr:col>
      <xdr:colOff>0</xdr:colOff>
      <xdr:row>66</xdr:row>
      <xdr:rowOff>66675</xdr:rowOff>
    </xdr:from>
    <xdr:to>
      <xdr:col>8</xdr:col>
      <xdr:colOff>0</xdr:colOff>
      <xdr:row>69</xdr:row>
      <xdr:rowOff>66675</xdr:rowOff>
    </xdr:to>
    <xdr:cxnSp macro="">
      <xdr:nvCxnSpPr>
        <xdr:cNvPr id="87" name="lin_Splitter 3_109">
          <a:extLst>
            <a:ext uri="{FF2B5EF4-FFF2-40B4-BE49-F238E27FC236}">
              <a16:creationId xmlns:a16="http://schemas.microsoft.com/office/drawing/2014/main" id="{289F3380-9E0B-E0C5-9070-B7A86C0A10C4}"/>
            </a:ext>
          </a:extLst>
        </xdr:cNvPr>
        <xdr:cNvCxnSpPr/>
      </xdr:nvCxnSpPr>
      <xdr:spPr>
        <a:xfrm>
          <a:off x="4876800" y="1268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587419</xdr:colOff>
      <xdr:row>70</xdr:row>
      <xdr:rowOff>66675</xdr:rowOff>
    </xdr:from>
    <xdr:to>
      <xdr:col>7</xdr:col>
      <xdr:colOff>22181</xdr:colOff>
      <xdr:row>72</xdr:row>
      <xdr:rowOff>30128</xdr:rowOff>
    </xdr:to>
    <xdr:sp macro="" textlink="">
      <xdr:nvSpPr>
        <xdr:cNvPr id="90" name="Rectangle 89">
          <a:extLst>
            <a:ext uri="{FF2B5EF4-FFF2-40B4-BE49-F238E27FC236}">
              <a16:creationId xmlns:a16="http://schemas.microsoft.com/office/drawing/2014/main" id="{1680641A-3049-49C6-A110-A69641D90A2B}"/>
            </a:ext>
          </a:extLst>
        </xdr:cNvPr>
        <xdr:cNvSpPr/>
      </xdr:nvSpPr>
      <xdr:spPr>
        <a:xfrm>
          <a:off x="3635419" y="1344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-19.97dBm</a:t>
          </a:r>
        </a:p>
      </xdr:txBody>
    </xdr:sp>
    <xdr:clientData/>
  </xdr:twoCellAnchor>
  <xdr:twoCellAnchor>
    <xdr:from>
      <xdr:col>7</xdr:col>
      <xdr:colOff>22181</xdr:colOff>
      <xdr:row>70</xdr:row>
      <xdr:rowOff>66675</xdr:rowOff>
    </xdr:from>
    <xdr:to>
      <xdr:col>7</xdr:col>
      <xdr:colOff>419100</xdr:colOff>
      <xdr:row>70</xdr:row>
      <xdr:rowOff>66675</xdr:rowOff>
    </xdr:to>
    <xdr:cxnSp macro="">
      <xdr:nvCxnSpPr>
        <xdr:cNvPr id="91" name="Straight Arrow Connector 90">
          <a:extLst>
            <a:ext uri="{FF2B5EF4-FFF2-40B4-BE49-F238E27FC236}">
              <a16:creationId xmlns:a16="http://schemas.microsoft.com/office/drawing/2014/main" id="{E412E506-11DF-A0F5-4CBF-09F253BEF8F6}"/>
            </a:ext>
          </a:extLst>
        </xdr:cNvPr>
        <xdr:cNvCxnSpPr/>
      </xdr:nvCxnSpPr>
      <xdr:spPr>
        <a:xfrm>
          <a:off x="4289381" y="13449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495300</xdr:colOff>
      <xdr:row>25</xdr:row>
      <xdr:rowOff>66675</xdr:rowOff>
    </xdr:from>
    <xdr:to>
      <xdr:col>13</xdr:col>
      <xdr:colOff>304800</xdr:colOff>
      <xdr:row>25</xdr:row>
      <xdr:rowOff>66675</xdr:rowOff>
    </xdr:to>
    <xdr:cxnSp macro="">
      <xdr:nvCxnSpPr>
        <xdr:cNvPr id="92" name="Straight Arrow Connector 91">
          <a:extLst>
            <a:ext uri="{FF2B5EF4-FFF2-40B4-BE49-F238E27FC236}">
              <a16:creationId xmlns:a16="http://schemas.microsoft.com/office/drawing/2014/main" id="{3AFDC7F0-FA0D-A243-5457-21C365131503}"/>
            </a:ext>
          </a:extLst>
        </xdr:cNvPr>
        <xdr:cNvCxnSpPr/>
      </xdr:nvCxnSpPr>
      <xdr:spPr>
        <a:xfrm>
          <a:off x="1714500" y="4876800"/>
          <a:ext cx="65151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114300</xdr:colOff>
      <xdr:row>29</xdr:row>
      <xdr:rowOff>66675</xdr:rowOff>
    </xdr:from>
    <xdr:to>
      <xdr:col>13</xdr:col>
      <xdr:colOff>495300</xdr:colOff>
      <xdr:row>31</xdr:row>
      <xdr:rowOff>66675</xdr:rowOff>
    </xdr:to>
    <xdr:sp macro="" textlink="">
      <xdr:nvSpPr>
        <xdr:cNvPr id="94" name="sym_Splitter 3_43" descr="Splitter 3~10">
          <a:extLst>
            <a:ext uri="{FF2B5EF4-FFF2-40B4-BE49-F238E27FC236}">
              <a16:creationId xmlns:a16="http://schemas.microsoft.com/office/drawing/2014/main" id="{FC357C5B-BDB9-5F44-9E74-9CBCEC8E37BF}"/>
            </a:ext>
          </a:extLst>
        </xdr:cNvPr>
        <xdr:cNvSpPr/>
      </xdr:nvSpPr>
      <xdr:spPr>
        <a:xfrm>
          <a:off x="8039100" y="563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13</xdr:col>
      <xdr:colOff>304800</xdr:colOff>
      <xdr:row>25</xdr:row>
      <xdr:rowOff>66675</xdr:rowOff>
    </xdr:from>
    <xdr:to>
      <xdr:col>13</xdr:col>
      <xdr:colOff>304800</xdr:colOff>
      <xdr:row>29</xdr:row>
      <xdr:rowOff>66675</xdr:rowOff>
    </xdr:to>
    <xdr:cxnSp macro="">
      <xdr:nvCxnSpPr>
        <xdr:cNvPr id="95" name="lin_Splitter 3_43">
          <a:extLst>
            <a:ext uri="{FF2B5EF4-FFF2-40B4-BE49-F238E27FC236}">
              <a16:creationId xmlns:a16="http://schemas.microsoft.com/office/drawing/2014/main" id="{93AAC21C-6CA8-BBC9-7F19-74F9046BEDA8}"/>
            </a:ext>
          </a:extLst>
        </xdr:cNvPr>
        <xdr:cNvCxnSpPr/>
      </xdr:nvCxnSpPr>
      <xdr:spPr>
        <a:xfrm>
          <a:off x="8229600" y="4876800"/>
          <a:ext cx="0" cy="7620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282619</xdr:colOff>
      <xdr:row>30</xdr:row>
      <xdr:rowOff>66675</xdr:rowOff>
    </xdr:from>
    <xdr:to>
      <xdr:col>12</xdr:col>
      <xdr:colOff>326981</xdr:colOff>
      <xdr:row>32</xdr:row>
      <xdr:rowOff>30128</xdr:rowOff>
    </xdr:to>
    <xdr:sp macro="" textlink="">
      <xdr:nvSpPr>
        <xdr:cNvPr id="98" name="Rectangle 97">
          <a:extLst>
            <a:ext uri="{FF2B5EF4-FFF2-40B4-BE49-F238E27FC236}">
              <a16:creationId xmlns:a16="http://schemas.microsoft.com/office/drawing/2014/main" id="{FB4735BA-F46C-304A-B2AB-D0AA6C31ABFF}"/>
            </a:ext>
          </a:extLst>
        </xdr:cNvPr>
        <xdr:cNvSpPr/>
      </xdr:nvSpPr>
      <xdr:spPr>
        <a:xfrm>
          <a:off x="6988219" y="582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-18.38dBm</a:t>
          </a:r>
        </a:p>
      </xdr:txBody>
    </xdr:sp>
    <xdr:clientData/>
  </xdr:twoCellAnchor>
  <xdr:twoCellAnchor>
    <xdr:from>
      <xdr:col>12</xdr:col>
      <xdr:colOff>326982</xdr:colOff>
      <xdr:row>30</xdr:row>
      <xdr:rowOff>66675</xdr:rowOff>
    </xdr:from>
    <xdr:to>
      <xdr:col>13</xdr:col>
      <xdr:colOff>114300</xdr:colOff>
      <xdr:row>30</xdr:row>
      <xdr:rowOff>66675</xdr:rowOff>
    </xdr:to>
    <xdr:cxnSp macro="">
      <xdr:nvCxnSpPr>
        <xdr:cNvPr id="99" name="Straight Arrow Connector 98">
          <a:extLst>
            <a:ext uri="{FF2B5EF4-FFF2-40B4-BE49-F238E27FC236}">
              <a16:creationId xmlns:a16="http://schemas.microsoft.com/office/drawing/2014/main" id="{6B0AEC00-532F-9E43-5ED3-49C042AAB394}"/>
            </a:ext>
          </a:extLst>
        </xdr:cNvPr>
        <xdr:cNvCxnSpPr/>
      </xdr:nvCxnSpPr>
      <xdr:spPr>
        <a:xfrm>
          <a:off x="7642182" y="5829300"/>
          <a:ext cx="396918"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114300</xdr:colOff>
      <xdr:row>34</xdr:row>
      <xdr:rowOff>66675</xdr:rowOff>
    </xdr:from>
    <xdr:to>
      <xdr:col>13</xdr:col>
      <xdr:colOff>495300</xdr:colOff>
      <xdr:row>36</xdr:row>
      <xdr:rowOff>66675</xdr:rowOff>
    </xdr:to>
    <xdr:sp macro="" textlink="">
      <xdr:nvSpPr>
        <xdr:cNvPr id="100" name="sym_Splitter 3_44">
          <a:extLst>
            <a:ext uri="{FF2B5EF4-FFF2-40B4-BE49-F238E27FC236}">
              <a16:creationId xmlns:a16="http://schemas.microsoft.com/office/drawing/2014/main" id="{F5F47ACF-D62D-4FC6-1B55-BC2DA8D736C4}"/>
            </a:ext>
          </a:extLst>
        </xdr:cNvPr>
        <xdr:cNvSpPr/>
      </xdr:nvSpPr>
      <xdr:spPr>
        <a:xfrm>
          <a:off x="8039100" y="659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2</a:t>
          </a:r>
        </a:p>
      </xdr:txBody>
    </xdr:sp>
    <xdr:clientData/>
  </xdr:twoCellAnchor>
  <xdr:twoCellAnchor>
    <xdr:from>
      <xdr:col>13</xdr:col>
      <xdr:colOff>304800</xdr:colOff>
      <xdr:row>31</xdr:row>
      <xdr:rowOff>66675</xdr:rowOff>
    </xdr:from>
    <xdr:to>
      <xdr:col>13</xdr:col>
      <xdr:colOff>304800</xdr:colOff>
      <xdr:row>34</xdr:row>
      <xdr:rowOff>66675</xdr:rowOff>
    </xdr:to>
    <xdr:cxnSp macro="">
      <xdr:nvCxnSpPr>
        <xdr:cNvPr id="101" name="lin_Splitter 3_44">
          <a:extLst>
            <a:ext uri="{FF2B5EF4-FFF2-40B4-BE49-F238E27FC236}">
              <a16:creationId xmlns:a16="http://schemas.microsoft.com/office/drawing/2014/main" id="{4B1BDF62-1E3C-89A1-D0E7-1D19B8B99C17}"/>
            </a:ext>
          </a:extLst>
        </xdr:cNvPr>
        <xdr:cNvCxnSpPr/>
      </xdr:nvCxnSpPr>
      <xdr:spPr>
        <a:xfrm>
          <a:off x="8229600" y="6019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282619</xdr:colOff>
      <xdr:row>35</xdr:row>
      <xdr:rowOff>66675</xdr:rowOff>
    </xdr:from>
    <xdr:to>
      <xdr:col>12</xdr:col>
      <xdr:colOff>326981</xdr:colOff>
      <xdr:row>37</xdr:row>
      <xdr:rowOff>30128</xdr:rowOff>
    </xdr:to>
    <xdr:sp macro="" textlink="">
      <xdr:nvSpPr>
        <xdr:cNvPr id="104" name="Rectangle 103">
          <a:extLst>
            <a:ext uri="{FF2B5EF4-FFF2-40B4-BE49-F238E27FC236}">
              <a16:creationId xmlns:a16="http://schemas.microsoft.com/office/drawing/2014/main" id="{2DF02FE1-F52E-AA80-4B67-BAC71869D039}"/>
            </a:ext>
          </a:extLst>
        </xdr:cNvPr>
        <xdr:cNvSpPr/>
      </xdr:nvSpPr>
      <xdr:spPr>
        <a:xfrm>
          <a:off x="6988219" y="6781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-18.51dBm</a:t>
          </a:r>
        </a:p>
      </xdr:txBody>
    </xdr:sp>
    <xdr:clientData/>
  </xdr:twoCellAnchor>
  <xdr:twoCellAnchor>
    <xdr:from>
      <xdr:col>12</xdr:col>
      <xdr:colOff>326982</xdr:colOff>
      <xdr:row>35</xdr:row>
      <xdr:rowOff>66675</xdr:rowOff>
    </xdr:from>
    <xdr:to>
      <xdr:col>13</xdr:col>
      <xdr:colOff>114300</xdr:colOff>
      <xdr:row>35</xdr:row>
      <xdr:rowOff>66675</xdr:rowOff>
    </xdr:to>
    <xdr:cxnSp macro="">
      <xdr:nvCxnSpPr>
        <xdr:cNvPr id="105" name="Straight Arrow Connector 104">
          <a:extLst>
            <a:ext uri="{FF2B5EF4-FFF2-40B4-BE49-F238E27FC236}">
              <a16:creationId xmlns:a16="http://schemas.microsoft.com/office/drawing/2014/main" id="{03D71598-AC22-506C-D4EC-A6A622FCE4EA}"/>
            </a:ext>
          </a:extLst>
        </xdr:cNvPr>
        <xdr:cNvCxnSpPr/>
      </xdr:nvCxnSpPr>
      <xdr:spPr>
        <a:xfrm>
          <a:off x="7642182" y="6781800"/>
          <a:ext cx="396918"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114300</xdr:colOff>
      <xdr:row>39</xdr:row>
      <xdr:rowOff>66675</xdr:rowOff>
    </xdr:from>
    <xdr:to>
      <xdr:col>13</xdr:col>
      <xdr:colOff>495300</xdr:colOff>
      <xdr:row>41</xdr:row>
      <xdr:rowOff>66675</xdr:rowOff>
    </xdr:to>
    <xdr:sp macro="" textlink="">
      <xdr:nvSpPr>
        <xdr:cNvPr id="106" name="sym_Splitter 3_45">
          <a:extLst>
            <a:ext uri="{FF2B5EF4-FFF2-40B4-BE49-F238E27FC236}">
              <a16:creationId xmlns:a16="http://schemas.microsoft.com/office/drawing/2014/main" id="{CFC26005-CEBA-007F-ED4F-5DE7731D38D4}"/>
            </a:ext>
          </a:extLst>
        </xdr:cNvPr>
        <xdr:cNvSpPr/>
      </xdr:nvSpPr>
      <xdr:spPr>
        <a:xfrm>
          <a:off x="8039100" y="754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3</a:t>
          </a:r>
        </a:p>
      </xdr:txBody>
    </xdr:sp>
    <xdr:clientData/>
  </xdr:twoCellAnchor>
  <xdr:twoCellAnchor>
    <xdr:from>
      <xdr:col>13</xdr:col>
      <xdr:colOff>304800</xdr:colOff>
      <xdr:row>36</xdr:row>
      <xdr:rowOff>66675</xdr:rowOff>
    </xdr:from>
    <xdr:to>
      <xdr:col>13</xdr:col>
      <xdr:colOff>304800</xdr:colOff>
      <xdr:row>39</xdr:row>
      <xdr:rowOff>66675</xdr:rowOff>
    </xdr:to>
    <xdr:cxnSp macro="">
      <xdr:nvCxnSpPr>
        <xdr:cNvPr id="107" name="lin_Splitter 3_45">
          <a:extLst>
            <a:ext uri="{FF2B5EF4-FFF2-40B4-BE49-F238E27FC236}">
              <a16:creationId xmlns:a16="http://schemas.microsoft.com/office/drawing/2014/main" id="{EAE48318-6860-9D7B-7C98-2383704C7C2A}"/>
            </a:ext>
          </a:extLst>
        </xdr:cNvPr>
        <xdr:cNvCxnSpPr/>
      </xdr:nvCxnSpPr>
      <xdr:spPr>
        <a:xfrm>
          <a:off x="8229600" y="697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282619</xdr:colOff>
      <xdr:row>40</xdr:row>
      <xdr:rowOff>66675</xdr:rowOff>
    </xdr:from>
    <xdr:to>
      <xdr:col>12</xdr:col>
      <xdr:colOff>326981</xdr:colOff>
      <xdr:row>42</xdr:row>
      <xdr:rowOff>30128</xdr:rowOff>
    </xdr:to>
    <xdr:sp macro="" textlink="">
      <xdr:nvSpPr>
        <xdr:cNvPr id="110" name="Rectangle 109">
          <a:extLst>
            <a:ext uri="{FF2B5EF4-FFF2-40B4-BE49-F238E27FC236}">
              <a16:creationId xmlns:a16="http://schemas.microsoft.com/office/drawing/2014/main" id="{0D696A0E-A6C3-1044-BA3E-2F0A6827FE7E}"/>
            </a:ext>
          </a:extLst>
        </xdr:cNvPr>
        <xdr:cNvSpPr/>
      </xdr:nvSpPr>
      <xdr:spPr>
        <a:xfrm>
          <a:off x="6988219" y="7734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-18.64dBm</a:t>
          </a:r>
        </a:p>
      </xdr:txBody>
    </xdr:sp>
    <xdr:clientData/>
  </xdr:twoCellAnchor>
  <xdr:twoCellAnchor>
    <xdr:from>
      <xdr:col>12</xdr:col>
      <xdr:colOff>326982</xdr:colOff>
      <xdr:row>40</xdr:row>
      <xdr:rowOff>66675</xdr:rowOff>
    </xdr:from>
    <xdr:to>
      <xdr:col>13</xdr:col>
      <xdr:colOff>114300</xdr:colOff>
      <xdr:row>40</xdr:row>
      <xdr:rowOff>66675</xdr:rowOff>
    </xdr:to>
    <xdr:cxnSp macro="">
      <xdr:nvCxnSpPr>
        <xdr:cNvPr id="111" name="Straight Arrow Connector 110">
          <a:extLst>
            <a:ext uri="{FF2B5EF4-FFF2-40B4-BE49-F238E27FC236}">
              <a16:creationId xmlns:a16="http://schemas.microsoft.com/office/drawing/2014/main" id="{FB14444E-63D2-DB11-F15A-BF96B6BBA4EC}"/>
            </a:ext>
          </a:extLst>
        </xdr:cNvPr>
        <xdr:cNvCxnSpPr/>
      </xdr:nvCxnSpPr>
      <xdr:spPr>
        <a:xfrm>
          <a:off x="7642182" y="7734300"/>
          <a:ext cx="396918"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114300</xdr:colOff>
      <xdr:row>44</xdr:row>
      <xdr:rowOff>66675</xdr:rowOff>
    </xdr:from>
    <xdr:to>
      <xdr:col>13</xdr:col>
      <xdr:colOff>495300</xdr:colOff>
      <xdr:row>46</xdr:row>
      <xdr:rowOff>66675</xdr:rowOff>
    </xdr:to>
    <xdr:sp macro="" textlink="">
      <xdr:nvSpPr>
        <xdr:cNvPr id="112" name="sym_Splitter 3_46">
          <a:extLst>
            <a:ext uri="{FF2B5EF4-FFF2-40B4-BE49-F238E27FC236}">
              <a16:creationId xmlns:a16="http://schemas.microsoft.com/office/drawing/2014/main" id="{1A95BD8C-1D13-7A3B-8E68-F3DE6B1AE85D}"/>
            </a:ext>
          </a:extLst>
        </xdr:cNvPr>
        <xdr:cNvSpPr/>
      </xdr:nvSpPr>
      <xdr:spPr>
        <a:xfrm>
          <a:off x="8039100" y="849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4</a:t>
          </a:r>
        </a:p>
      </xdr:txBody>
    </xdr:sp>
    <xdr:clientData/>
  </xdr:twoCellAnchor>
  <xdr:twoCellAnchor>
    <xdr:from>
      <xdr:col>13</xdr:col>
      <xdr:colOff>304800</xdr:colOff>
      <xdr:row>41</xdr:row>
      <xdr:rowOff>66675</xdr:rowOff>
    </xdr:from>
    <xdr:to>
      <xdr:col>13</xdr:col>
      <xdr:colOff>304800</xdr:colOff>
      <xdr:row>44</xdr:row>
      <xdr:rowOff>66675</xdr:rowOff>
    </xdr:to>
    <xdr:cxnSp macro="">
      <xdr:nvCxnSpPr>
        <xdr:cNvPr id="113" name="lin_Splitter 3_46">
          <a:extLst>
            <a:ext uri="{FF2B5EF4-FFF2-40B4-BE49-F238E27FC236}">
              <a16:creationId xmlns:a16="http://schemas.microsoft.com/office/drawing/2014/main" id="{244EA11F-3F7C-AA14-10CE-B32134252E5F}"/>
            </a:ext>
          </a:extLst>
        </xdr:cNvPr>
        <xdr:cNvCxnSpPr/>
      </xdr:nvCxnSpPr>
      <xdr:spPr>
        <a:xfrm>
          <a:off x="8229600" y="7924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114300</xdr:colOff>
      <xdr:row>49</xdr:row>
      <xdr:rowOff>66675</xdr:rowOff>
    </xdr:from>
    <xdr:to>
      <xdr:col>13</xdr:col>
      <xdr:colOff>495300</xdr:colOff>
      <xdr:row>51</xdr:row>
      <xdr:rowOff>66675</xdr:rowOff>
    </xdr:to>
    <xdr:sp macro="" textlink="">
      <xdr:nvSpPr>
        <xdr:cNvPr id="116" name="sym_Splitter 3_47">
          <a:extLst>
            <a:ext uri="{FF2B5EF4-FFF2-40B4-BE49-F238E27FC236}">
              <a16:creationId xmlns:a16="http://schemas.microsoft.com/office/drawing/2014/main" id="{15017D7F-979C-7530-9F69-576AC38C7F98}"/>
            </a:ext>
          </a:extLst>
        </xdr:cNvPr>
        <xdr:cNvSpPr/>
      </xdr:nvSpPr>
      <xdr:spPr>
        <a:xfrm>
          <a:off x="8039100" y="944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5</a:t>
          </a:r>
        </a:p>
      </xdr:txBody>
    </xdr:sp>
    <xdr:clientData/>
  </xdr:twoCellAnchor>
  <xdr:twoCellAnchor>
    <xdr:from>
      <xdr:col>13</xdr:col>
      <xdr:colOff>304800</xdr:colOff>
      <xdr:row>46</xdr:row>
      <xdr:rowOff>66675</xdr:rowOff>
    </xdr:from>
    <xdr:to>
      <xdr:col>13</xdr:col>
      <xdr:colOff>304800</xdr:colOff>
      <xdr:row>49</xdr:row>
      <xdr:rowOff>66675</xdr:rowOff>
    </xdr:to>
    <xdr:cxnSp macro="">
      <xdr:nvCxnSpPr>
        <xdr:cNvPr id="117" name="lin_Splitter 3_47">
          <a:extLst>
            <a:ext uri="{FF2B5EF4-FFF2-40B4-BE49-F238E27FC236}">
              <a16:creationId xmlns:a16="http://schemas.microsoft.com/office/drawing/2014/main" id="{3B7715D7-B0F3-A2D9-21B5-892718A621F2}"/>
            </a:ext>
          </a:extLst>
        </xdr:cNvPr>
        <xdr:cNvCxnSpPr/>
      </xdr:nvCxnSpPr>
      <xdr:spPr>
        <a:xfrm>
          <a:off x="8229600" y="887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282619</xdr:colOff>
      <xdr:row>50</xdr:row>
      <xdr:rowOff>66675</xdr:rowOff>
    </xdr:from>
    <xdr:to>
      <xdr:col>12</xdr:col>
      <xdr:colOff>326981</xdr:colOff>
      <xdr:row>52</xdr:row>
      <xdr:rowOff>30128</xdr:rowOff>
    </xdr:to>
    <xdr:sp macro="" textlink="">
      <xdr:nvSpPr>
        <xdr:cNvPr id="120" name="Rectangle 119">
          <a:extLst>
            <a:ext uri="{FF2B5EF4-FFF2-40B4-BE49-F238E27FC236}">
              <a16:creationId xmlns:a16="http://schemas.microsoft.com/office/drawing/2014/main" id="{01FB7093-6D8D-1306-A058-8AD9A1E9FB79}"/>
            </a:ext>
          </a:extLst>
        </xdr:cNvPr>
        <xdr:cNvSpPr/>
      </xdr:nvSpPr>
      <xdr:spPr>
        <a:xfrm>
          <a:off x="6988219" y="963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-18.84dBm</a:t>
          </a:r>
        </a:p>
      </xdr:txBody>
    </xdr:sp>
    <xdr:clientData/>
  </xdr:twoCellAnchor>
  <xdr:twoCellAnchor>
    <xdr:from>
      <xdr:col>12</xdr:col>
      <xdr:colOff>326982</xdr:colOff>
      <xdr:row>50</xdr:row>
      <xdr:rowOff>66675</xdr:rowOff>
    </xdr:from>
    <xdr:to>
      <xdr:col>13</xdr:col>
      <xdr:colOff>114300</xdr:colOff>
      <xdr:row>50</xdr:row>
      <xdr:rowOff>66675</xdr:rowOff>
    </xdr:to>
    <xdr:cxnSp macro="">
      <xdr:nvCxnSpPr>
        <xdr:cNvPr id="121" name="Straight Arrow Connector 120">
          <a:extLst>
            <a:ext uri="{FF2B5EF4-FFF2-40B4-BE49-F238E27FC236}">
              <a16:creationId xmlns:a16="http://schemas.microsoft.com/office/drawing/2014/main" id="{28EB9542-725C-9C4B-7216-36A144BF7D64}"/>
            </a:ext>
          </a:extLst>
        </xdr:cNvPr>
        <xdr:cNvCxnSpPr/>
      </xdr:nvCxnSpPr>
      <xdr:spPr>
        <a:xfrm>
          <a:off x="7642182" y="9639300"/>
          <a:ext cx="396918"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495300</xdr:colOff>
      <xdr:row>45</xdr:row>
      <xdr:rowOff>66675</xdr:rowOff>
    </xdr:from>
    <xdr:to>
      <xdr:col>19</xdr:col>
      <xdr:colOff>0</xdr:colOff>
      <xdr:row>45</xdr:row>
      <xdr:rowOff>66675</xdr:rowOff>
    </xdr:to>
    <xdr:cxnSp macro="">
      <xdr:nvCxnSpPr>
        <xdr:cNvPr id="122" name="Straight Arrow Connector 121">
          <a:extLst>
            <a:ext uri="{FF2B5EF4-FFF2-40B4-BE49-F238E27FC236}">
              <a16:creationId xmlns:a16="http://schemas.microsoft.com/office/drawing/2014/main" id="{E6F70723-AFE1-ADF2-9EE7-36FB84573A55}"/>
            </a:ext>
          </a:extLst>
        </xdr:cNvPr>
        <xdr:cNvCxnSpPr/>
      </xdr:nvCxnSpPr>
      <xdr:spPr>
        <a:xfrm>
          <a:off x="8420100" y="8686800"/>
          <a:ext cx="31623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419100</xdr:colOff>
      <xdr:row>49</xdr:row>
      <xdr:rowOff>66675</xdr:rowOff>
    </xdr:from>
    <xdr:to>
      <xdr:col>19</xdr:col>
      <xdr:colOff>190500</xdr:colOff>
      <xdr:row>51</xdr:row>
      <xdr:rowOff>66675</xdr:rowOff>
    </xdr:to>
    <xdr:sp macro="" textlink="">
      <xdr:nvSpPr>
        <xdr:cNvPr id="124" name="sym_Splitter 3_76" descr="Splitter 3~46">
          <a:extLst>
            <a:ext uri="{FF2B5EF4-FFF2-40B4-BE49-F238E27FC236}">
              <a16:creationId xmlns:a16="http://schemas.microsoft.com/office/drawing/2014/main" id="{34345617-10F4-9700-ED0A-F902C37753E4}"/>
            </a:ext>
          </a:extLst>
        </xdr:cNvPr>
        <xdr:cNvSpPr/>
      </xdr:nvSpPr>
      <xdr:spPr>
        <a:xfrm>
          <a:off x="11391900" y="944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19</xdr:col>
      <xdr:colOff>0</xdr:colOff>
      <xdr:row>45</xdr:row>
      <xdr:rowOff>66675</xdr:rowOff>
    </xdr:from>
    <xdr:to>
      <xdr:col>19</xdr:col>
      <xdr:colOff>0</xdr:colOff>
      <xdr:row>49</xdr:row>
      <xdr:rowOff>66675</xdr:rowOff>
    </xdr:to>
    <xdr:cxnSp macro="">
      <xdr:nvCxnSpPr>
        <xdr:cNvPr id="125" name="lin_Splitter 3_76">
          <a:extLst>
            <a:ext uri="{FF2B5EF4-FFF2-40B4-BE49-F238E27FC236}">
              <a16:creationId xmlns:a16="http://schemas.microsoft.com/office/drawing/2014/main" id="{509532AD-08FC-B209-E393-36A2F0E311CC}"/>
            </a:ext>
          </a:extLst>
        </xdr:cNvPr>
        <xdr:cNvCxnSpPr/>
      </xdr:nvCxnSpPr>
      <xdr:spPr>
        <a:xfrm>
          <a:off x="11582400" y="8686800"/>
          <a:ext cx="0" cy="7620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587419</xdr:colOff>
      <xdr:row>50</xdr:row>
      <xdr:rowOff>66675</xdr:rowOff>
    </xdr:from>
    <xdr:to>
      <xdr:col>18</xdr:col>
      <xdr:colOff>22181</xdr:colOff>
      <xdr:row>52</xdr:row>
      <xdr:rowOff>30128</xdr:rowOff>
    </xdr:to>
    <xdr:sp macro="" textlink="">
      <xdr:nvSpPr>
        <xdr:cNvPr id="128" name="Rectangle 127">
          <a:extLst>
            <a:ext uri="{FF2B5EF4-FFF2-40B4-BE49-F238E27FC236}">
              <a16:creationId xmlns:a16="http://schemas.microsoft.com/office/drawing/2014/main" id="{19163FD1-6CFF-4C6E-FA5C-A42776B42609}"/>
            </a:ext>
          </a:extLst>
        </xdr:cNvPr>
        <xdr:cNvSpPr/>
      </xdr:nvSpPr>
      <xdr:spPr>
        <a:xfrm>
          <a:off x="10341019" y="963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-19.73dBm</a:t>
          </a:r>
        </a:p>
      </xdr:txBody>
    </xdr:sp>
    <xdr:clientData/>
  </xdr:twoCellAnchor>
  <xdr:twoCellAnchor>
    <xdr:from>
      <xdr:col>18</xdr:col>
      <xdr:colOff>22182</xdr:colOff>
      <xdr:row>50</xdr:row>
      <xdr:rowOff>66675</xdr:rowOff>
    </xdr:from>
    <xdr:to>
      <xdr:col>18</xdr:col>
      <xdr:colOff>419100</xdr:colOff>
      <xdr:row>50</xdr:row>
      <xdr:rowOff>66675</xdr:rowOff>
    </xdr:to>
    <xdr:cxnSp macro="">
      <xdr:nvCxnSpPr>
        <xdr:cNvPr id="129" name="Straight Arrow Connector 128">
          <a:extLst>
            <a:ext uri="{FF2B5EF4-FFF2-40B4-BE49-F238E27FC236}">
              <a16:creationId xmlns:a16="http://schemas.microsoft.com/office/drawing/2014/main" id="{66AE003E-A743-3B00-4C1B-A25FE821A388}"/>
            </a:ext>
          </a:extLst>
        </xdr:cNvPr>
        <xdr:cNvCxnSpPr/>
      </xdr:nvCxnSpPr>
      <xdr:spPr>
        <a:xfrm>
          <a:off x="10994982" y="9639300"/>
          <a:ext cx="396918"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295275</xdr:colOff>
          <xdr:row>4</xdr:row>
          <xdr:rowOff>28575</xdr:rowOff>
        </xdr:from>
        <xdr:to>
          <xdr:col>5</xdr:col>
          <xdr:colOff>552450</xdr:colOff>
          <xdr:row>5</xdr:row>
          <xdr:rowOff>180975</xdr:rowOff>
        </xdr:to>
        <xdr:sp macro="" textlink="">
          <xdr:nvSpPr>
            <xdr:cNvPr id="54273" name="CommandButton1" hidden="1">
              <a:extLst>
                <a:ext uri="{63B3BB69-23CF-44E3-9099-C40C66FF867C}">
                  <a14:compatExt spid="_x0000_s54273"/>
                </a:ext>
                <a:ext uri="{FF2B5EF4-FFF2-40B4-BE49-F238E27FC236}">
                  <a16:creationId xmlns:a16="http://schemas.microsoft.com/office/drawing/2014/main" id="{DBA94434-2B38-4524-8ED7-59DF2B4F32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19050</xdr:colOff>
      <xdr:row>0</xdr:row>
      <xdr:rowOff>0</xdr:rowOff>
    </xdr:from>
    <xdr:to>
      <xdr:col>2</xdr:col>
      <xdr:colOff>666750</xdr:colOff>
      <xdr:row>0</xdr:row>
      <xdr:rowOff>616925</xdr:rowOff>
    </xdr:to>
    <xdr:pic>
      <xdr:nvPicPr>
        <xdr:cNvPr id="2" name="Picture 1">
          <a:extLst>
            <a:ext uri="{FF2B5EF4-FFF2-40B4-BE49-F238E27FC236}">
              <a16:creationId xmlns:a16="http://schemas.microsoft.com/office/drawing/2014/main" id="{DE8FA61D-0EF0-42F2-9A4A-84C2FAADE157}"/>
            </a:ext>
          </a:extLst>
        </xdr:cNvPr>
        <xdr:cNvPicPr>
          <a:picLocks noChangeAspect="1"/>
        </xdr:cNvPicPr>
      </xdr:nvPicPr>
      <xdr:blipFill>
        <a:blip xmlns:r="http://schemas.openxmlformats.org/officeDocument/2006/relationships" r:embed="rId1"/>
        <a:stretch>
          <a:fillRect/>
        </a:stretch>
      </xdr:blipFill>
      <xdr:spPr>
        <a:xfrm>
          <a:off x="19050" y="0"/>
          <a:ext cx="2066925" cy="616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66675</xdr:colOff>
          <xdr:row>4</xdr:row>
          <xdr:rowOff>28575</xdr:rowOff>
        </xdr:from>
        <xdr:to>
          <xdr:col>4</xdr:col>
          <xdr:colOff>266700</xdr:colOff>
          <xdr:row>5</xdr:row>
          <xdr:rowOff>180975</xdr:rowOff>
        </xdr:to>
        <xdr:sp macro="" textlink="">
          <xdr:nvSpPr>
            <xdr:cNvPr id="54274" name="CommandButton3" hidden="1">
              <a:extLst>
                <a:ext uri="{63B3BB69-23CF-44E3-9099-C40C66FF867C}">
                  <a14:compatExt spid="_x0000_s54274"/>
                </a:ext>
                <a:ext uri="{FF2B5EF4-FFF2-40B4-BE49-F238E27FC236}">
                  <a16:creationId xmlns:a16="http://schemas.microsoft.com/office/drawing/2014/main" id="{CEEF3F02-5C46-49B0-B13A-04841B9FB6A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13</xdr:col>
      <xdr:colOff>38100</xdr:colOff>
      <xdr:row>37</xdr:row>
      <xdr:rowOff>77437</xdr:rowOff>
    </xdr:from>
    <xdr:ext cx="529119" cy="344838"/>
    <xdr:sp macro="" textlink="">
      <xdr:nvSpPr>
        <xdr:cNvPr id="69" name="TextBox 68">
          <a:extLst>
            <a:ext uri="{FF2B5EF4-FFF2-40B4-BE49-F238E27FC236}">
              <a16:creationId xmlns:a16="http://schemas.microsoft.com/office/drawing/2014/main" id="{19B7FBD5-78D4-0A86-5A72-E2F8D3AD981F}"/>
            </a:ext>
          </a:extLst>
        </xdr:cNvPr>
        <xdr:cNvSpPr txBox="1"/>
      </xdr:nvSpPr>
      <xdr:spPr>
        <a:xfrm>
          <a:off x="7962900" y="717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459</a:t>
          </a:r>
        </a:p>
        <a:p>
          <a:pPr algn="ctr"/>
          <a:r>
            <a:rPr lang="en-US" sz="1100"/>
            <a:t>Feet</a:t>
          </a:r>
        </a:p>
      </xdr:txBody>
    </xdr:sp>
    <xdr:clientData/>
  </xdr:oneCellAnchor>
  <xdr:oneCellAnchor>
    <xdr:from>
      <xdr:col>13</xdr:col>
      <xdr:colOff>495300</xdr:colOff>
      <xdr:row>38</xdr:row>
      <xdr:rowOff>66675</xdr:rowOff>
    </xdr:from>
    <xdr:ext cx="1059649" cy="781240"/>
    <xdr:sp macro="" textlink="">
      <xdr:nvSpPr>
        <xdr:cNvPr id="68" name="TextBox 67">
          <a:extLst>
            <a:ext uri="{FF2B5EF4-FFF2-40B4-BE49-F238E27FC236}">
              <a16:creationId xmlns:a16="http://schemas.microsoft.com/office/drawing/2014/main" id="{CACF1F7F-B254-625D-5FB5-D5D694BF0620}"/>
            </a:ext>
          </a:extLst>
        </xdr:cNvPr>
        <xdr:cNvSpPr txBox="1"/>
      </xdr:nvSpPr>
      <xdr:spPr>
        <a:xfrm>
          <a:off x="8420100" y="735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1096/@014</a:t>
          </a:r>
        </a:p>
        <a:p>
          <a:pPr algn="l"/>
          <a:r>
            <a:rPr lang="en-US" sz="1100"/>
            <a:t>USBM1X8</a:t>
          </a:r>
        </a:p>
        <a:p>
          <a:pPr algn="l"/>
          <a:r>
            <a:rPr lang="en-US" sz="1100"/>
            <a:t>-11.98dBm In</a:t>
          </a:r>
        </a:p>
        <a:p>
          <a:pPr algn="l"/>
          <a:r>
            <a:rPr lang="en-US" sz="1100"/>
            <a:t>-22.62dBm Out</a:t>
          </a:r>
        </a:p>
      </xdr:txBody>
    </xdr:sp>
    <xdr:clientData/>
  </xdr:oneCellAnchor>
  <xdr:oneCellAnchor>
    <xdr:from>
      <xdr:col>13</xdr:col>
      <xdr:colOff>38100</xdr:colOff>
      <xdr:row>32</xdr:row>
      <xdr:rowOff>43966</xdr:rowOff>
    </xdr:from>
    <xdr:ext cx="529119" cy="378309"/>
    <xdr:sp macro="" textlink="">
      <xdr:nvSpPr>
        <xdr:cNvPr id="65" name="TextBox 64">
          <a:extLst>
            <a:ext uri="{FF2B5EF4-FFF2-40B4-BE49-F238E27FC236}">
              <a16:creationId xmlns:a16="http://schemas.microsoft.com/office/drawing/2014/main" id="{BEAF230E-63D3-BED4-ED06-45020436CA5B}"/>
            </a:ext>
          </a:extLst>
        </xdr:cNvPr>
        <xdr:cNvSpPr txBox="1"/>
      </xdr:nvSpPr>
      <xdr:spPr>
        <a:xfrm>
          <a:off x="7962900" y="6187591"/>
          <a:ext cx="529119" cy="3783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2000</a:t>
          </a:r>
        </a:p>
        <a:p>
          <a:pPr algn="ctr"/>
          <a:r>
            <a:rPr lang="en-US" sz="1100"/>
            <a:t>Feet</a:t>
          </a:r>
        </a:p>
      </xdr:txBody>
    </xdr:sp>
    <xdr:clientData/>
  </xdr:oneCellAnchor>
  <xdr:oneCellAnchor>
    <xdr:from>
      <xdr:col>13</xdr:col>
      <xdr:colOff>495300</xdr:colOff>
      <xdr:row>33</xdr:row>
      <xdr:rowOff>66675</xdr:rowOff>
    </xdr:from>
    <xdr:ext cx="1059649" cy="781240"/>
    <xdr:sp macro="" textlink="">
      <xdr:nvSpPr>
        <xdr:cNvPr id="64" name="TextBox 63">
          <a:extLst>
            <a:ext uri="{FF2B5EF4-FFF2-40B4-BE49-F238E27FC236}">
              <a16:creationId xmlns:a16="http://schemas.microsoft.com/office/drawing/2014/main" id="{9BAB96F4-5762-32A3-ED02-D1AC236DC9F5}"/>
            </a:ext>
          </a:extLst>
        </xdr:cNvPr>
        <xdr:cNvSpPr txBox="1"/>
      </xdr:nvSpPr>
      <xdr:spPr>
        <a:xfrm>
          <a:off x="8420100" y="640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1096/012</a:t>
          </a:r>
        </a:p>
        <a:p>
          <a:pPr algn="l"/>
          <a:r>
            <a:rPr lang="en-US" sz="1100"/>
            <a:t>N/A</a:t>
          </a:r>
        </a:p>
        <a:p>
          <a:pPr algn="l"/>
          <a:r>
            <a:rPr lang="en-US" sz="1100"/>
            <a:t>-11.90dBm In</a:t>
          </a:r>
        </a:p>
        <a:p>
          <a:pPr algn="l"/>
          <a:r>
            <a:rPr lang="en-US" sz="1100"/>
            <a:t>-11.94dBm Out</a:t>
          </a:r>
        </a:p>
      </xdr:txBody>
    </xdr:sp>
    <xdr:clientData/>
  </xdr:oneCellAnchor>
  <xdr:oneCellAnchor>
    <xdr:from>
      <xdr:col>6</xdr:col>
      <xdr:colOff>190500</xdr:colOff>
      <xdr:row>29</xdr:row>
      <xdr:rowOff>28575</xdr:rowOff>
    </xdr:from>
    <xdr:ext cx="697370" cy="264560"/>
    <xdr:sp macro="" textlink="">
      <xdr:nvSpPr>
        <xdr:cNvPr id="61" name="TextBox 60">
          <a:extLst>
            <a:ext uri="{FF2B5EF4-FFF2-40B4-BE49-F238E27FC236}">
              <a16:creationId xmlns:a16="http://schemas.microsoft.com/office/drawing/2014/main" id="{C2A44EC0-3127-F223-B2A6-130DD06C09F0}"/>
            </a:ext>
          </a:extLst>
        </xdr:cNvPr>
        <xdr:cNvSpPr txBox="1"/>
      </xdr:nvSpPr>
      <xdr:spPr>
        <a:xfrm>
          <a:off x="3848100" y="5600700"/>
          <a:ext cx="697370"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b="1"/>
            <a:t>Branch 1</a:t>
          </a:r>
        </a:p>
      </xdr:txBody>
    </xdr:sp>
    <xdr:clientData/>
  </xdr:oneCellAnchor>
  <xdr:oneCellAnchor>
    <xdr:from>
      <xdr:col>7</xdr:col>
      <xdr:colOff>342900</xdr:colOff>
      <xdr:row>37</xdr:row>
      <xdr:rowOff>77437</xdr:rowOff>
    </xdr:from>
    <xdr:ext cx="529119" cy="344838"/>
    <xdr:sp macro="" textlink="">
      <xdr:nvSpPr>
        <xdr:cNvPr id="57" name="TextBox 56">
          <a:extLst>
            <a:ext uri="{FF2B5EF4-FFF2-40B4-BE49-F238E27FC236}">
              <a16:creationId xmlns:a16="http://schemas.microsoft.com/office/drawing/2014/main" id="{C48153F6-7835-897D-4AE6-7D5072CC3D9C}"/>
            </a:ext>
          </a:extLst>
        </xdr:cNvPr>
        <xdr:cNvSpPr txBox="1"/>
      </xdr:nvSpPr>
      <xdr:spPr>
        <a:xfrm>
          <a:off x="4610100" y="717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793</a:t>
          </a:r>
        </a:p>
        <a:p>
          <a:pPr algn="ctr"/>
          <a:r>
            <a:rPr lang="en-US" sz="1100"/>
            <a:t>Feet</a:t>
          </a:r>
        </a:p>
      </xdr:txBody>
    </xdr:sp>
    <xdr:clientData/>
  </xdr:oneCellAnchor>
  <xdr:oneCellAnchor>
    <xdr:from>
      <xdr:col>8</xdr:col>
      <xdr:colOff>190500</xdr:colOff>
      <xdr:row>38</xdr:row>
      <xdr:rowOff>66675</xdr:rowOff>
    </xdr:from>
    <xdr:ext cx="1059649" cy="781240"/>
    <xdr:sp macro="" textlink="">
      <xdr:nvSpPr>
        <xdr:cNvPr id="56" name="TextBox 55">
          <a:extLst>
            <a:ext uri="{FF2B5EF4-FFF2-40B4-BE49-F238E27FC236}">
              <a16:creationId xmlns:a16="http://schemas.microsoft.com/office/drawing/2014/main" id="{71A64685-39EE-2520-CFCF-DBD8C3D0CF45}"/>
            </a:ext>
          </a:extLst>
        </xdr:cNvPr>
        <xdr:cNvSpPr txBox="1"/>
      </xdr:nvSpPr>
      <xdr:spPr>
        <a:xfrm>
          <a:off x="5067300" y="735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1477/@004</a:t>
          </a:r>
        </a:p>
        <a:p>
          <a:pPr algn="l"/>
          <a:r>
            <a:rPr lang="en-US" sz="1100"/>
            <a:t>USBM1X4</a:t>
          </a:r>
        </a:p>
        <a:p>
          <a:pPr algn="l"/>
          <a:r>
            <a:rPr lang="en-US" sz="1100"/>
            <a:t>-12.40dBm In</a:t>
          </a:r>
        </a:p>
        <a:p>
          <a:pPr algn="l"/>
          <a:r>
            <a:rPr lang="en-US" sz="1100"/>
            <a:t>-19.64dBm Out</a:t>
          </a:r>
        </a:p>
      </xdr:txBody>
    </xdr:sp>
    <xdr:clientData/>
  </xdr:oneCellAnchor>
  <xdr:oneCellAnchor>
    <xdr:from>
      <xdr:col>6</xdr:col>
      <xdr:colOff>190500</xdr:colOff>
      <xdr:row>34</xdr:row>
      <xdr:rowOff>28575</xdr:rowOff>
    </xdr:from>
    <xdr:ext cx="697370" cy="264560"/>
    <xdr:sp macro="" textlink="">
      <xdr:nvSpPr>
        <xdr:cNvPr id="53" name="TextBox 52">
          <a:extLst>
            <a:ext uri="{FF2B5EF4-FFF2-40B4-BE49-F238E27FC236}">
              <a16:creationId xmlns:a16="http://schemas.microsoft.com/office/drawing/2014/main" id="{35A6091A-35F3-50A0-C70D-F2D60D1259AD}"/>
            </a:ext>
          </a:extLst>
        </xdr:cNvPr>
        <xdr:cNvSpPr txBox="1"/>
      </xdr:nvSpPr>
      <xdr:spPr>
        <a:xfrm>
          <a:off x="3848100" y="6553200"/>
          <a:ext cx="697370"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b="1"/>
            <a:t>Branch 2</a:t>
          </a:r>
        </a:p>
      </xdr:txBody>
    </xdr:sp>
    <xdr:clientData/>
  </xdr:oneCellAnchor>
  <xdr:oneCellAnchor>
    <xdr:from>
      <xdr:col>2</xdr:col>
      <xdr:colOff>38100</xdr:colOff>
      <xdr:row>52</xdr:row>
      <xdr:rowOff>77437</xdr:rowOff>
    </xdr:from>
    <xdr:ext cx="529119" cy="344838"/>
    <xdr:sp macro="" textlink="">
      <xdr:nvSpPr>
        <xdr:cNvPr id="49" name="TextBox 48">
          <a:extLst>
            <a:ext uri="{FF2B5EF4-FFF2-40B4-BE49-F238E27FC236}">
              <a16:creationId xmlns:a16="http://schemas.microsoft.com/office/drawing/2014/main" id="{9A7E466B-C178-A6AD-0ED1-E836A42FDFA8}"/>
            </a:ext>
          </a:extLst>
        </xdr:cNvPr>
        <xdr:cNvSpPr txBox="1"/>
      </xdr:nvSpPr>
      <xdr:spPr>
        <a:xfrm>
          <a:off x="1257300" y="1003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603</a:t>
          </a:r>
        </a:p>
        <a:p>
          <a:pPr algn="ctr"/>
          <a:r>
            <a:rPr lang="en-US" sz="1100"/>
            <a:t>Feet</a:t>
          </a:r>
        </a:p>
      </xdr:txBody>
    </xdr:sp>
    <xdr:clientData/>
  </xdr:oneCellAnchor>
  <xdr:oneCellAnchor>
    <xdr:from>
      <xdr:col>2</xdr:col>
      <xdr:colOff>495300</xdr:colOff>
      <xdr:row>53</xdr:row>
      <xdr:rowOff>66675</xdr:rowOff>
    </xdr:from>
    <xdr:ext cx="1059649" cy="781240"/>
    <xdr:sp macro="" textlink="">
      <xdr:nvSpPr>
        <xdr:cNvPr id="48" name="TextBox 47">
          <a:extLst>
            <a:ext uri="{FF2B5EF4-FFF2-40B4-BE49-F238E27FC236}">
              <a16:creationId xmlns:a16="http://schemas.microsoft.com/office/drawing/2014/main" id="{99BB72B1-925A-2709-28B7-542B78FCDBAC}"/>
            </a:ext>
          </a:extLst>
        </xdr:cNvPr>
        <xdr:cNvSpPr txBox="1"/>
      </xdr:nvSpPr>
      <xdr:spPr>
        <a:xfrm>
          <a:off x="1714500" y="1021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1097/@211</a:t>
          </a:r>
        </a:p>
        <a:p>
          <a:pPr algn="l"/>
          <a:r>
            <a:rPr lang="en-US" sz="1100"/>
            <a:t>USBM1X4</a:t>
          </a:r>
        </a:p>
        <a:p>
          <a:pPr algn="l"/>
          <a:r>
            <a:rPr lang="en-US" sz="1100"/>
            <a:t>-11.77dBm In</a:t>
          </a:r>
        </a:p>
        <a:p>
          <a:pPr algn="l"/>
          <a:r>
            <a:rPr lang="en-US" sz="1100"/>
            <a:t>-19.01dBm Out</a:t>
          </a:r>
        </a:p>
      </xdr:txBody>
    </xdr:sp>
    <xdr:clientData/>
  </xdr:oneCellAnchor>
  <xdr:oneCellAnchor>
    <xdr:from>
      <xdr:col>2</xdr:col>
      <xdr:colOff>38100</xdr:colOff>
      <xdr:row>47</xdr:row>
      <xdr:rowOff>77437</xdr:rowOff>
    </xdr:from>
    <xdr:ext cx="529119" cy="344838"/>
    <xdr:sp macro="" textlink="">
      <xdr:nvSpPr>
        <xdr:cNvPr id="43" name="TextBox 42">
          <a:extLst>
            <a:ext uri="{FF2B5EF4-FFF2-40B4-BE49-F238E27FC236}">
              <a16:creationId xmlns:a16="http://schemas.microsoft.com/office/drawing/2014/main" id="{8361F931-86B2-CB7E-52A7-31E653E39EB9}"/>
            </a:ext>
          </a:extLst>
        </xdr:cNvPr>
        <xdr:cNvSpPr txBox="1"/>
      </xdr:nvSpPr>
      <xdr:spPr>
        <a:xfrm>
          <a:off x="1257300" y="9078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950</a:t>
          </a:r>
        </a:p>
        <a:p>
          <a:pPr algn="ctr"/>
          <a:r>
            <a:rPr lang="en-US" sz="1100"/>
            <a:t>Feet</a:t>
          </a:r>
        </a:p>
      </xdr:txBody>
    </xdr:sp>
    <xdr:clientData/>
  </xdr:oneCellAnchor>
  <xdr:oneCellAnchor>
    <xdr:from>
      <xdr:col>2</xdr:col>
      <xdr:colOff>495300</xdr:colOff>
      <xdr:row>48</xdr:row>
      <xdr:rowOff>66675</xdr:rowOff>
    </xdr:from>
    <xdr:ext cx="1059649" cy="781240"/>
    <xdr:sp macro="" textlink="">
      <xdr:nvSpPr>
        <xdr:cNvPr id="42" name="TextBox 41">
          <a:extLst>
            <a:ext uri="{FF2B5EF4-FFF2-40B4-BE49-F238E27FC236}">
              <a16:creationId xmlns:a16="http://schemas.microsoft.com/office/drawing/2014/main" id="{A6EAEC6E-23B4-BEFC-BACC-DC623FD8BC69}"/>
            </a:ext>
          </a:extLst>
        </xdr:cNvPr>
        <xdr:cNvSpPr txBox="1"/>
      </xdr:nvSpPr>
      <xdr:spPr>
        <a:xfrm>
          <a:off x="1714500" y="925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1097/@208</a:t>
          </a:r>
        </a:p>
        <a:p>
          <a:pPr algn="l"/>
          <a:r>
            <a:rPr lang="en-US" sz="1100"/>
            <a:t>USBM1X4</a:t>
          </a:r>
        </a:p>
        <a:p>
          <a:pPr algn="l"/>
          <a:r>
            <a:rPr lang="en-US" sz="1100"/>
            <a:t>-11.67dBm In</a:t>
          </a:r>
        </a:p>
        <a:p>
          <a:pPr algn="l"/>
          <a:r>
            <a:rPr lang="en-US" sz="1100"/>
            <a:t>-18.91dBm Out</a:t>
          </a:r>
        </a:p>
      </xdr:txBody>
    </xdr:sp>
    <xdr:clientData/>
  </xdr:oneCellAnchor>
  <xdr:oneCellAnchor>
    <xdr:from>
      <xdr:col>2</xdr:col>
      <xdr:colOff>38100</xdr:colOff>
      <xdr:row>42</xdr:row>
      <xdr:rowOff>43966</xdr:rowOff>
    </xdr:from>
    <xdr:ext cx="529119" cy="378309"/>
    <xdr:sp macro="" textlink="">
      <xdr:nvSpPr>
        <xdr:cNvPr id="37" name="TextBox 36">
          <a:extLst>
            <a:ext uri="{FF2B5EF4-FFF2-40B4-BE49-F238E27FC236}">
              <a16:creationId xmlns:a16="http://schemas.microsoft.com/office/drawing/2014/main" id="{2E6E6CBB-ACDC-301F-4B6F-41248D74D6B7}"/>
            </a:ext>
          </a:extLst>
        </xdr:cNvPr>
        <xdr:cNvSpPr txBox="1"/>
      </xdr:nvSpPr>
      <xdr:spPr>
        <a:xfrm>
          <a:off x="1257300" y="8092591"/>
          <a:ext cx="529119" cy="3783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2925</a:t>
          </a:r>
        </a:p>
        <a:p>
          <a:pPr algn="ctr"/>
          <a:r>
            <a:rPr lang="en-US" sz="1100"/>
            <a:t>Feet</a:t>
          </a:r>
        </a:p>
      </xdr:txBody>
    </xdr:sp>
    <xdr:clientData/>
  </xdr:oneCellAnchor>
  <xdr:oneCellAnchor>
    <xdr:from>
      <xdr:col>2</xdr:col>
      <xdr:colOff>495300</xdr:colOff>
      <xdr:row>43</xdr:row>
      <xdr:rowOff>66675</xdr:rowOff>
    </xdr:from>
    <xdr:ext cx="1059649" cy="781240"/>
    <xdr:sp macro="" textlink="">
      <xdr:nvSpPr>
        <xdr:cNvPr id="36" name="TextBox 35">
          <a:extLst>
            <a:ext uri="{FF2B5EF4-FFF2-40B4-BE49-F238E27FC236}">
              <a16:creationId xmlns:a16="http://schemas.microsoft.com/office/drawing/2014/main" id="{7211BE82-7387-242C-C796-2D3ECCF7C717}"/>
            </a:ext>
          </a:extLst>
        </xdr:cNvPr>
        <xdr:cNvSpPr txBox="1"/>
      </xdr:nvSpPr>
      <xdr:spPr>
        <a:xfrm>
          <a:off x="1714500" y="830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1097/@205</a:t>
          </a:r>
        </a:p>
        <a:p>
          <a:pPr algn="l"/>
          <a:r>
            <a:rPr lang="en-US" sz="1100"/>
            <a:t>USBM1X4</a:t>
          </a:r>
        </a:p>
        <a:p>
          <a:pPr algn="l"/>
          <a:r>
            <a:rPr lang="en-US" sz="1100"/>
            <a:t>-11.53dBm In</a:t>
          </a:r>
        </a:p>
        <a:p>
          <a:pPr algn="l"/>
          <a:r>
            <a:rPr lang="en-US" sz="1100"/>
            <a:t>-18.77dBm Out</a:t>
          </a:r>
        </a:p>
      </xdr:txBody>
    </xdr:sp>
    <xdr:clientData/>
  </xdr:oneCellAnchor>
  <xdr:oneCellAnchor>
    <xdr:from>
      <xdr:col>2</xdr:col>
      <xdr:colOff>38100</xdr:colOff>
      <xdr:row>37</xdr:row>
      <xdr:rowOff>77437</xdr:rowOff>
    </xdr:from>
    <xdr:ext cx="529119" cy="344838"/>
    <xdr:sp macro="" textlink="">
      <xdr:nvSpPr>
        <xdr:cNvPr id="31" name="TextBox 30">
          <a:extLst>
            <a:ext uri="{FF2B5EF4-FFF2-40B4-BE49-F238E27FC236}">
              <a16:creationId xmlns:a16="http://schemas.microsoft.com/office/drawing/2014/main" id="{DA9C4720-2913-2406-1A50-89DB93E89926}"/>
            </a:ext>
          </a:extLst>
        </xdr:cNvPr>
        <xdr:cNvSpPr txBox="1"/>
      </xdr:nvSpPr>
      <xdr:spPr>
        <a:xfrm>
          <a:off x="1257300" y="717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653</a:t>
          </a:r>
        </a:p>
        <a:p>
          <a:pPr algn="ctr"/>
          <a:r>
            <a:rPr lang="en-US" sz="1100"/>
            <a:t>Feet</a:t>
          </a:r>
        </a:p>
      </xdr:txBody>
    </xdr:sp>
    <xdr:clientData/>
  </xdr:oneCellAnchor>
  <xdr:oneCellAnchor>
    <xdr:from>
      <xdr:col>2</xdr:col>
      <xdr:colOff>495300</xdr:colOff>
      <xdr:row>38</xdr:row>
      <xdr:rowOff>66675</xdr:rowOff>
    </xdr:from>
    <xdr:ext cx="1059649" cy="781240"/>
    <xdr:sp macro="" textlink="">
      <xdr:nvSpPr>
        <xdr:cNvPr id="30" name="TextBox 29">
          <a:extLst>
            <a:ext uri="{FF2B5EF4-FFF2-40B4-BE49-F238E27FC236}">
              <a16:creationId xmlns:a16="http://schemas.microsoft.com/office/drawing/2014/main" id="{D4F73437-F1C0-7F0F-DC4E-74C3E916C561}"/>
            </a:ext>
          </a:extLst>
        </xdr:cNvPr>
        <xdr:cNvSpPr txBox="1"/>
      </xdr:nvSpPr>
      <xdr:spPr>
        <a:xfrm>
          <a:off x="1714500" y="735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1097/@185</a:t>
          </a:r>
        </a:p>
        <a:p>
          <a:pPr algn="l"/>
          <a:r>
            <a:rPr lang="en-US" sz="1100"/>
            <a:t>USBM1X4</a:t>
          </a:r>
        </a:p>
        <a:p>
          <a:pPr algn="l"/>
          <a:r>
            <a:rPr lang="en-US" sz="1100"/>
            <a:t>-11.20dBm In</a:t>
          </a:r>
        </a:p>
        <a:p>
          <a:pPr algn="l"/>
          <a:r>
            <a:rPr lang="en-US" sz="1100"/>
            <a:t>-18.44dBm Out</a:t>
          </a:r>
        </a:p>
      </xdr:txBody>
    </xdr:sp>
    <xdr:clientData/>
  </xdr:oneCellAnchor>
  <xdr:oneCellAnchor>
    <xdr:from>
      <xdr:col>2</xdr:col>
      <xdr:colOff>38100</xdr:colOff>
      <xdr:row>32</xdr:row>
      <xdr:rowOff>43966</xdr:rowOff>
    </xdr:from>
    <xdr:ext cx="529119" cy="378309"/>
    <xdr:sp macro="" textlink="">
      <xdr:nvSpPr>
        <xdr:cNvPr id="27" name="TextBox 26">
          <a:extLst>
            <a:ext uri="{FF2B5EF4-FFF2-40B4-BE49-F238E27FC236}">
              <a16:creationId xmlns:a16="http://schemas.microsoft.com/office/drawing/2014/main" id="{75C07E22-722F-FCAE-4EF1-20CEE2455CA2}"/>
            </a:ext>
          </a:extLst>
        </xdr:cNvPr>
        <xdr:cNvSpPr txBox="1"/>
      </xdr:nvSpPr>
      <xdr:spPr>
        <a:xfrm>
          <a:off x="1257300" y="6187591"/>
          <a:ext cx="529119" cy="3783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2675</a:t>
          </a:r>
        </a:p>
        <a:p>
          <a:pPr algn="ctr"/>
          <a:r>
            <a:rPr lang="en-US" sz="1100"/>
            <a:t>Feet</a:t>
          </a:r>
        </a:p>
      </xdr:txBody>
    </xdr:sp>
    <xdr:clientData/>
  </xdr:oneCellAnchor>
  <xdr:oneCellAnchor>
    <xdr:from>
      <xdr:col>2</xdr:col>
      <xdr:colOff>495300</xdr:colOff>
      <xdr:row>33</xdr:row>
      <xdr:rowOff>66675</xdr:rowOff>
    </xdr:from>
    <xdr:ext cx="1059649" cy="781240"/>
    <xdr:sp macro="" textlink="">
      <xdr:nvSpPr>
        <xdr:cNvPr id="26" name="TextBox 25">
          <a:extLst>
            <a:ext uri="{FF2B5EF4-FFF2-40B4-BE49-F238E27FC236}">
              <a16:creationId xmlns:a16="http://schemas.microsoft.com/office/drawing/2014/main" id="{DC46E9E5-D085-7045-CA2F-5523A9BA336F}"/>
            </a:ext>
          </a:extLst>
        </xdr:cNvPr>
        <xdr:cNvSpPr txBox="1"/>
      </xdr:nvSpPr>
      <xdr:spPr>
        <a:xfrm>
          <a:off x="1714500" y="640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1097/181</a:t>
          </a:r>
        </a:p>
        <a:p>
          <a:pPr algn="l"/>
          <a:r>
            <a:rPr lang="en-US" sz="1100"/>
            <a:t>N/A</a:t>
          </a:r>
        </a:p>
        <a:p>
          <a:pPr algn="l"/>
          <a:r>
            <a:rPr lang="en-US" sz="1100"/>
            <a:t>-11.09dBm In</a:t>
          </a:r>
        </a:p>
        <a:p>
          <a:pPr algn="l"/>
          <a:r>
            <a:rPr lang="en-US" sz="1100"/>
            <a:t>-11.13dBm Out</a:t>
          </a:r>
        </a:p>
      </xdr:txBody>
    </xdr:sp>
    <xdr:clientData/>
  </xdr:oneCellAnchor>
  <xdr:oneCellAnchor>
    <xdr:from>
      <xdr:col>2</xdr:col>
      <xdr:colOff>38100</xdr:colOff>
      <xdr:row>27</xdr:row>
      <xdr:rowOff>43966</xdr:rowOff>
    </xdr:from>
    <xdr:ext cx="529119" cy="378309"/>
    <xdr:sp macro="" textlink="">
      <xdr:nvSpPr>
        <xdr:cNvPr id="23" name="TextBox 22">
          <a:extLst>
            <a:ext uri="{FF2B5EF4-FFF2-40B4-BE49-F238E27FC236}">
              <a16:creationId xmlns:a16="http://schemas.microsoft.com/office/drawing/2014/main" id="{D01E8510-827A-13E9-FC2C-FA9A31D973AD}"/>
            </a:ext>
          </a:extLst>
        </xdr:cNvPr>
        <xdr:cNvSpPr txBox="1"/>
      </xdr:nvSpPr>
      <xdr:spPr>
        <a:xfrm>
          <a:off x="1257300" y="5235091"/>
          <a:ext cx="529119" cy="3783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4236</a:t>
          </a:r>
        </a:p>
        <a:p>
          <a:pPr algn="ctr"/>
          <a:r>
            <a:rPr lang="en-US" sz="1100"/>
            <a:t>Feet</a:t>
          </a:r>
        </a:p>
      </xdr:txBody>
    </xdr:sp>
    <xdr:clientData/>
  </xdr:oneCellAnchor>
  <xdr:oneCellAnchor>
    <xdr:from>
      <xdr:col>2</xdr:col>
      <xdr:colOff>495300</xdr:colOff>
      <xdr:row>28</xdr:row>
      <xdr:rowOff>66675</xdr:rowOff>
    </xdr:from>
    <xdr:ext cx="1059649" cy="781240"/>
    <xdr:sp macro="" textlink="">
      <xdr:nvSpPr>
        <xdr:cNvPr id="22" name="TextBox 21">
          <a:extLst>
            <a:ext uri="{FF2B5EF4-FFF2-40B4-BE49-F238E27FC236}">
              <a16:creationId xmlns:a16="http://schemas.microsoft.com/office/drawing/2014/main" id="{FB308925-4AF0-078D-CF36-E27AFB5C6153}"/>
            </a:ext>
          </a:extLst>
        </xdr:cNvPr>
        <xdr:cNvSpPr txBox="1"/>
      </xdr:nvSpPr>
      <xdr:spPr>
        <a:xfrm>
          <a:off x="1714500" y="5448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1097/164</a:t>
          </a:r>
        </a:p>
        <a:p>
          <a:pPr algn="l"/>
          <a:r>
            <a:rPr lang="en-US" sz="1100"/>
            <a:t>N/A</a:t>
          </a:r>
        </a:p>
        <a:p>
          <a:pPr algn="l"/>
          <a:r>
            <a:rPr lang="en-US" sz="1100"/>
            <a:t>-10.78dBm In</a:t>
          </a:r>
        </a:p>
        <a:p>
          <a:pPr algn="l"/>
          <a:r>
            <a:rPr lang="en-US" sz="1100"/>
            <a:t>-10.82dBm Out</a:t>
          </a:r>
        </a:p>
      </xdr:txBody>
    </xdr:sp>
    <xdr:clientData/>
  </xdr:oneCellAnchor>
  <xdr:oneCellAnchor>
    <xdr:from>
      <xdr:col>2</xdr:col>
      <xdr:colOff>38100</xdr:colOff>
      <xdr:row>22</xdr:row>
      <xdr:rowOff>43966</xdr:rowOff>
    </xdr:from>
    <xdr:ext cx="529119" cy="378309"/>
    <xdr:sp macro="" textlink="">
      <xdr:nvSpPr>
        <xdr:cNvPr id="19" name="TextBox 18">
          <a:extLst>
            <a:ext uri="{FF2B5EF4-FFF2-40B4-BE49-F238E27FC236}">
              <a16:creationId xmlns:a16="http://schemas.microsoft.com/office/drawing/2014/main" id="{B117F815-B8EB-15A4-2C3F-1B73EB1BB543}"/>
            </a:ext>
          </a:extLst>
        </xdr:cNvPr>
        <xdr:cNvSpPr txBox="1"/>
      </xdr:nvSpPr>
      <xdr:spPr>
        <a:xfrm>
          <a:off x="1257300" y="4282591"/>
          <a:ext cx="529119" cy="3783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1703</a:t>
          </a:r>
        </a:p>
        <a:p>
          <a:pPr algn="ctr"/>
          <a:r>
            <a:rPr lang="en-US" sz="1100"/>
            <a:t>Feet</a:t>
          </a:r>
        </a:p>
      </xdr:txBody>
    </xdr:sp>
    <xdr:clientData/>
  </xdr:oneCellAnchor>
  <xdr:oneCellAnchor>
    <xdr:from>
      <xdr:col>2</xdr:col>
      <xdr:colOff>495300</xdr:colOff>
      <xdr:row>23</xdr:row>
      <xdr:rowOff>66675</xdr:rowOff>
    </xdr:from>
    <xdr:ext cx="1059649" cy="781240"/>
    <xdr:sp macro="" textlink="">
      <xdr:nvSpPr>
        <xdr:cNvPr id="18" name="TextBox 17">
          <a:extLst>
            <a:ext uri="{FF2B5EF4-FFF2-40B4-BE49-F238E27FC236}">
              <a16:creationId xmlns:a16="http://schemas.microsoft.com/office/drawing/2014/main" id="{50893313-5ADF-D82C-4C88-FFF643F93343}"/>
            </a:ext>
          </a:extLst>
        </xdr:cNvPr>
        <xdr:cNvSpPr txBox="1"/>
      </xdr:nvSpPr>
      <xdr:spPr>
        <a:xfrm>
          <a:off x="1714500" y="4495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1097/137</a:t>
          </a:r>
        </a:p>
        <a:p>
          <a:pPr algn="l"/>
          <a:r>
            <a:rPr lang="en-US" sz="1100"/>
            <a:t>N/A</a:t>
          </a:r>
        </a:p>
        <a:p>
          <a:pPr algn="l"/>
          <a:r>
            <a:rPr lang="en-US" sz="1100"/>
            <a:t>-10.31dBm In</a:t>
          </a:r>
        </a:p>
        <a:p>
          <a:pPr algn="l"/>
          <a:r>
            <a:rPr lang="en-US" sz="1100"/>
            <a:t>-10.34dBm Out</a:t>
          </a:r>
        </a:p>
      </xdr:txBody>
    </xdr:sp>
    <xdr:clientData/>
  </xdr:oneCellAnchor>
  <xdr:oneCellAnchor>
    <xdr:from>
      <xdr:col>2</xdr:col>
      <xdr:colOff>38100</xdr:colOff>
      <xdr:row>17</xdr:row>
      <xdr:rowOff>77437</xdr:rowOff>
    </xdr:from>
    <xdr:ext cx="529119" cy="344838"/>
    <xdr:sp macro="" textlink="">
      <xdr:nvSpPr>
        <xdr:cNvPr id="15" name="TextBox 14">
          <a:extLst>
            <a:ext uri="{FF2B5EF4-FFF2-40B4-BE49-F238E27FC236}">
              <a16:creationId xmlns:a16="http://schemas.microsoft.com/office/drawing/2014/main" id="{93CCC25C-8EBD-ACE7-FFD6-C5341D3FF137}"/>
            </a:ext>
          </a:extLst>
        </xdr:cNvPr>
        <xdr:cNvSpPr txBox="1"/>
      </xdr:nvSpPr>
      <xdr:spPr>
        <a:xfrm>
          <a:off x="1257300" y="33635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706</a:t>
          </a:r>
        </a:p>
        <a:p>
          <a:pPr algn="ctr"/>
          <a:r>
            <a:rPr lang="en-US" sz="1100"/>
            <a:t>Feet</a:t>
          </a:r>
        </a:p>
      </xdr:txBody>
    </xdr:sp>
    <xdr:clientData/>
  </xdr:oneCellAnchor>
  <xdr:oneCellAnchor>
    <xdr:from>
      <xdr:col>2</xdr:col>
      <xdr:colOff>495300</xdr:colOff>
      <xdr:row>18</xdr:row>
      <xdr:rowOff>66675</xdr:rowOff>
    </xdr:from>
    <xdr:ext cx="1059649" cy="781240"/>
    <xdr:sp macro="" textlink="">
      <xdr:nvSpPr>
        <xdr:cNvPr id="14" name="TextBox 13">
          <a:extLst>
            <a:ext uri="{FF2B5EF4-FFF2-40B4-BE49-F238E27FC236}">
              <a16:creationId xmlns:a16="http://schemas.microsoft.com/office/drawing/2014/main" id="{870A4DCA-6371-2A79-80C0-EABCDF59246B}"/>
            </a:ext>
          </a:extLst>
        </xdr:cNvPr>
        <xdr:cNvSpPr txBox="1"/>
      </xdr:nvSpPr>
      <xdr:spPr>
        <a:xfrm>
          <a:off x="1714500" y="35433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1097/628</a:t>
          </a:r>
        </a:p>
        <a:p>
          <a:pPr algn="l"/>
          <a:r>
            <a:rPr lang="en-US" sz="1100"/>
            <a:t>N/A</a:t>
          </a:r>
        </a:p>
        <a:p>
          <a:pPr algn="l"/>
          <a:r>
            <a:rPr lang="en-US" sz="1100"/>
            <a:t>-10.10dBm In</a:t>
          </a:r>
        </a:p>
        <a:p>
          <a:pPr algn="l"/>
          <a:r>
            <a:rPr lang="en-US" sz="1100"/>
            <a:t>-10.13dBm Out</a:t>
          </a:r>
        </a:p>
      </xdr:txBody>
    </xdr:sp>
    <xdr:clientData/>
  </xdr:oneCellAnchor>
  <xdr:oneCellAnchor>
    <xdr:from>
      <xdr:col>2</xdr:col>
      <xdr:colOff>38100</xdr:colOff>
      <xdr:row>12</xdr:row>
      <xdr:rowOff>77437</xdr:rowOff>
    </xdr:from>
    <xdr:ext cx="529119" cy="344838"/>
    <xdr:sp macro="" textlink="">
      <xdr:nvSpPr>
        <xdr:cNvPr id="11" name="TextBox 10">
          <a:extLst>
            <a:ext uri="{FF2B5EF4-FFF2-40B4-BE49-F238E27FC236}">
              <a16:creationId xmlns:a16="http://schemas.microsoft.com/office/drawing/2014/main" id="{09A7E2E6-6D74-0D81-B342-728036F3BBE2}"/>
            </a:ext>
          </a:extLst>
        </xdr:cNvPr>
        <xdr:cNvSpPr txBox="1"/>
      </xdr:nvSpPr>
      <xdr:spPr>
        <a:xfrm>
          <a:off x="1257300" y="24110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120</a:t>
          </a:r>
        </a:p>
        <a:p>
          <a:pPr algn="ctr"/>
          <a:r>
            <a:rPr lang="en-US" sz="1100"/>
            <a:t>Feet</a:t>
          </a:r>
        </a:p>
      </xdr:txBody>
    </xdr:sp>
    <xdr:clientData/>
  </xdr:oneCellAnchor>
  <xdr:oneCellAnchor>
    <xdr:from>
      <xdr:col>2</xdr:col>
      <xdr:colOff>495300</xdr:colOff>
      <xdr:row>13</xdr:row>
      <xdr:rowOff>66675</xdr:rowOff>
    </xdr:from>
    <xdr:ext cx="1059649" cy="781240"/>
    <xdr:sp macro="" textlink="">
      <xdr:nvSpPr>
        <xdr:cNvPr id="10" name="TextBox 9">
          <a:extLst>
            <a:ext uri="{FF2B5EF4-FFF2-40B4-BE49-F238E27FC236}">
              <a16:creationId xmlns:a16="http://schemas.microsoft.com/office/drawing/2014/main" id="{C1026E22-8E95-41C0-E17A-3817CA6ACB96}"/>
            </a:ext>
          </a:extLst>
        </xdr:cNvPr>
        <xdr:cNvSpPr txBox="1"/>
      </xdr:nvSpPr>
      <xdr:spPr>
        <a:xfrm>
          <a:off x="1714500" y="2590800"/>
          <a:ext cx="1059649" cy="78124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l"/>
          <a:r>
            <a:rPr lang="en-US" sz="1100"/>
            <a:t>1097/124</a:t>
          </a:r>
        </a:p>
        <a:p>
          <a:pPr algn="l"/>
          <a:r>
            <a:rPr lang="en-US" sz="1100"/>
            <a:t>N/A</a:t>
          </a:r>
        </a:p>
        <a:p>
          <a:pPr algn="l"/>
          <a:r>
            <a:rPr lang="en-US" sz="1100"/>
            <a:t>-9.99dBm In</a:t>
          </a:r>
        </a:p>
        <a:p>
          <a:pPr algn="l"/>
          <a:r>
            <a:rPr lang="en-US" sz="1100"/>
            <a:t>-10.02dBm Out</a:t>
          </a:r>
        </a:p>
      </xdr:txBody>
    </xdr:sp>
    <xdr:clientData/>
  </xdr:oneCellAnchor>
  <xdr:oneCellAnchor>
    <xdr:from>
      <xdr:col>2</xdr:col>
      <xdr:colOff>38100</xdr:colOff>
      <xdr:row>6</xdr:row>
      <xdr:rowOff>166337</xdr:rowOff>
    </xdr:from>
    <xdr:ext cx="529119" cy="344838"/>
    <xdr:sp macro="" textlink="">
      <xdr:nvSpPr>
        <xdr:cNvPr id="6" name="TextBox 5">
          <a:extLst>
            <a:ext uri="{FF2B5EF4-FFF2-40B4-BE49-F238E27FC236}">
              <a16:creationId xmlns:a16="http://schemas.microsoft.com/office/drawing/2014/main" id="{16DF4B7C-7F84-AE20-7612-0F2FFBE73CF3}"/>
            </a:ext>
          </a:extLst>
        </xdr:cNvPr>
        <xdr:cNvSpPr txBox="1"/>
      </xdr:nvSpPr>
      <xdr:spPr>
        <a:xfrm>
          <a:off x="1257300" y="1356962"/>
          <a:ext cx="529119" cy="3448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vert270" wrap="none" rtlCol="0" anchor="t">
          <a:spAutoFit/>
        </a:bodyPr>
        <a:lstStyle/>
        <a:p>
          <a:pPr algn="ctr"/>
          <a:r>
            <a:rPr lang="en-US" sz="1100"/>
            <a:t>200</a:t>
          </a:r>
        </a:p>
        <a:p>
          <a:pPr algn="ctr"/>
          <a:r>
            <a:rPr lang="en-US" sz="1100"/>
            <a:t>Feet</a:t>
          </a:r>
        </a:p>
      </xdr:txBody>
    </xdr:sp>
    <xdr:clientData/>
  </xdr:oneCellAnchor>
  <xdr:twoCellAnchor>
    <xdr:from>
      <xdr:col>2</xdr:col>
      <xdr:colOff>0</xdr:colOff>
      <xdr:row>3</xdr:row>
      <xdr:rowOff>79375</xdr:rowOff>
    </xdr:from>
    <xdr:to>
      <xdr:col>3</xdr:col>
      <xdr:colOff>0</xdr:colOff>
      <xdr:row>6</xdr:row>
      <xdr:rowOff>15875</xdr:rowOff>
    </xdr:to>
    <xdr:sp macro="" textlink="">
      <xdr:nvSpPr>
        <xdr:cNvPr id="2" name="sym_OLT">
          <a:extLst>
            <a:ext uri="{FF2B5EF4-FFF2-40B4-BE49-F238E27FC236}">
              <a16:creationId xmlns:a16="http://schemas.microsoft.com/office/drawing/2014/main" id="{15F4A6DA-FB11-2C6A-B643-9A33FE2CEEA8}"/>
            </a:ext>
          </a:extLst>
        </xdr:cNvPr>
        <xdr:cNvSpPr/>
      </xdr:nvSpPr>
      <xdr:spPr>
        <a:xfrm>
          <a:off x="1219200" y="698500"/>
          <a:ext cx="609600" cy="508000"/>
        </a:xfrm>
        <a:prstGeom prst="hex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OLT</a:t>
          </a:r>
        </a:p>
        <a:p>
          <a:pPr algn="ctr"/>
          <a:r>
            <a:rPr lang="en-US" sz="1100"/>
            <a:t>Port</a:t>
          </a:r>
        </a:p>
      </xdr:txBody>
    </xdr:sp>
    <xdr:clientData/>
  </xdr:twoCellAnchor>
  <xdr:oneCellAnchor>
    <xdr:from>
      <xdr:col>1</xdr:col>
      <xdr:colOff>279400</xdr:colOff>
      <xdr:row>1</xdr:row>
      <xdr:rowOff>142875</xdr:rowOff>
    </xdr:from>
    <xdr:ext cx="1378454" cy="264560"/>
    <xdr:sp macro="" textlink="">
      <xdr:nvSpPr>
        <xdr:cNvPr id="3" name="txt_OLT">
          <a:extLst>
            <a:ext uri="{FF2B5EF4-FFF2-40B4-BE49-F238E27FC236}">
              <a16:creationId xmlns:a16="http://schemas.microsoft.com/office/drawing/2014/main" id="{36E69087-1EA6-2119-68F5-1FBD0423D091}"/>
            </a:ext>
          </a:extLst>
        </xdr:cNvPr>
        <xdr:cNvSpPr txBox="1"/>
      </xdr:nvSpPr>
      <xdr:spPr>
        <a:xfrm>
          <a:off x="889000" y="381000"/>
          <a:ext cx="1378454"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ctr"/>
          <a:r>
            <a:rPr lang="en-US" sz="1100"/>
            <a:t>Output Power = 3.25</a:t>
          </a:r>
        </a:p>
      </xdr:txBody>
    </xdr:sp>
    <xdr:clientData/>
  </xdr:oneCellAnchor>
  <xdr:twoCellAnchor>
    <xdr:from>
      <xdr:col>1</xdr:col>
      <xdr:colOff>304800</xdr:colOff>
      <xdr:row>9</xdr:row>
      <xdr:rowOff>3175</xdr:rowOff>
    </xdr:from>
    <xdr:to>
      <xdr:col>3</xdr:col>
      <xdr:colOff>304800</xdr:colOff>
      <xdr:row>11</xdr:row>
      <xdr:rowOff>130175</xdr:rowOff>
    </xdr:to>
    <xdr:sp macro="" textlink="">
      <xdr:nvSpPr>
        <xdr:cNvPr id="4" name="sym_LS">
          <a:extLst>
            <a:ext uri="{FF2B5EF4-FFF2-40B4-BE49-F238E27FC236}">
              <a16:creationId xmlns:a16="http://schemas.microsoft.com/office/drawing/2014/main" id="{89038427-3FA6-4EEE-7632-88CA31193B5F}"/>
            </a:ext>
          </a:extLst>
        </xdr:cNvPr>
        <xdr:cNvSpPr/>
      </xdr:nvSpPr>
      <xdr:spPr>
        <a:xfrm>
          <a:off x="914400" y="1765300"/>
          <a:ext cx="1219200" cy="508000"/>
        </a:xfrm>
        <a:prstGeom prst="su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1x16</a:t>
          </a:r>
        </a:p>
      </xdr:txBody>
    </xdr:sp>
    <xdr:clientData/>
  </xdr:twoCellAnchor>
  <xdr:twoCellAnchor>
    <xdr:from>
      <xdr:col>2</xdr:col>
      <xdr:colOff>304800</xdr:colOff>
      <xdr:row>6</xdr:row>
      <xdr:rowOff>15875</xdr:rowOff>
    </xdr:from>
    <xdr:to>
      <xdr:col>2</xdr:col>
      <xdr:colOff>304800</xdr:colOff>
      <xdr:row>9</xdr:row>
      <xdr:rowOff>15875</xdr:rowOff>
    </xdr:to>
    <xdr:cxnSp macro="">
      <xdr:nvCxnSpPr>
        <xdr:cNvPr id="5" name="lin_Splitter 4_Feeder">
          <a:extLst>
            <a:ext uri="{FF2B5EF4-FFF2-40B4-BE49-F238E27FC236}">
              <a16:creationId xmlns:a16="http://schemas.microsoft.com/office/drawing/2014/main" id="{FCD3528D-3792-FE34-BFAC-EB9435DD65E9}"/>
            </a:ext>
          </a:extLst>
        </xdr:cNvPr>
        <xdr:cNvCxnSpPr/>
      </xdr:nvCxnSpPr>
      <xdr:spPr>
        <a:xfrm>
          <a:off x="1524000" y="12065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304800</xdr:colOff>
      <xdr:row>9</xdr:row>
      <xdr:rowOff>130175</xdr:rowOff>
    </xdr:from>
    <xdr:ext cx="988156" cy="264560"/>
    <xdr:sp macro="" textlink="">
      <xdr:nvSpPr>
        <xdr:cNvPr id="7" name="txt_LS">
          <a:extLst>
            <a:ext uri="{FF2B5EF4-FFF2-40B4-BE49-F238E27FC236}">
              <a16:creationId xmlns:a16="http://schemas.microsoft.com/office/drawing/2014/main" id="{CE826B03-0184-4511-C131-18DA84A47757}"/>
            </a:ext>
          </a:extLst>
        </xdr:cNvPr>
        <xdr:cNvSpPr txBox="1"/>
      </xdr:nvSpPr>
      <xdr:spPr>
        <a:xfrm>
          <a:off x="2133600" y="1892300"/>
          <a:ext cx="988156" cy="2645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spAutoFit/>
        </a:bodyPr>
        <a:lstStyle/>
        <a:p>
          <a:pPr algn="ctr"/>
          <a:r>
            <a:rPr lang="en-US" sz="1100"/>
            <a:t>-9.94dBm Out</a:t>
          </a:r>
        </a:p>
      </xdr:txBody>
    </xdr:sp>
    <xdr:clientData/>
  </xdr:oneCellAnchor>
  <xdr:twoCellAnchor>
    <xdr:from>
      <xdr:col>2</xdr:col>
      <xdr:colOff>114300</xdr:colOff>
      <xdr:row>14</xdr:row>
      <xdr:rowOff>66675</xdr:rowOff>
    </xdr:from>
    <xdr:to>
      <xdr:col>2</xdr:col>
      <xdr:colOff>495300</xdr:colOff>
      <xdr:row>16</xdr:row>
      <xdr:rowOff>66675</xdr:rowOff>
    </xdr:to>
    <xdr:sp macro="" textlink="">
      <xdr:nvSpPr>
        <xdr:cNvPr id="8" name="sym_Splitter 4_8" descr="Splitter 3~46">
          <a:extLst>
            <a:ext uri="{FF2B5EF4-FFF2-40B4-BE49-F238E27FC236}">
              <a16:creationId xmlns:a16="http://schemas.microsoft.com/office/drawing/2014/main" id="{BB4C50FC-54B9-B901-8A7A-DE8AFBFFA0FE}"/>
            </a:ext>
          </a:extLst>
        </xdr:cNvPr>
        <xdr:cNvSpPr/>
      </xdr:nvSpPr>
      <xdr:spPr>
        <a:xfrm>
          <a:off x="1333500" y="278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2</xdr:col>
      <xdr:colOff>304800</xdr:colOff>
      <xdr:row>11</xdr:row>
      <xdr:rowOff>130175</xdr:rowOff>
    </xdr:from>
    <xdr:to>
      <xdr:col>2</xdr:col>
      <xdr:colOff>304800</xdr:colOff>
      <xdr:row>14</xdr:row>
      <xdr:rowOff>130175</xdr:rowOff>
    </xdr:to>
    <xdr:cxnSp macro="">
      <xdr:nvCxnSpPr>
        <xdr:cNvPr id="9" name="lin_Splitter 4_8">
          <a:extLst>
            <a:ext uri="{FF2B5EF4-FFF2-40B4-BE49-F238E27FC236}">
              <a16:creationId xmlns:a16="http://schemas.microsoft.com/office/drawing/2014/main" id="{CF8D0418-B2FD-FD3A-129B-61884331D74E}"/>
            </a:ext>
          </a:extLst>
        </xdr:cNvPr>
        <xdr:cNvCxnSpPr/>
      </xdr:nvCxnSpPr>
      <xdr:spPr>
        <a:xfrm>
          <a:off x="1524000" y="2273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19</xdr:row>
      <xdr:rowOff>66675</xdr:rowOff>
    </xdr:from>
    <xdr:to>
      <xdr:col>2</xdr:col>
      <xdr:colOff>495300</xdr:colOff>
      <xdr:row>21</xdr:row>
      <xdr:rowOff>66675</xdr:rowOff>
    </xdr:to>
    <xdr:sp macro="" textlink="">
      <xdr:nvSpPr>
        <xdr:cNvPr id="12" name="sym_Splitter 4_9">
          <a:extLst>
            <a:ext uri="{FF2B5EF4-FFF2-40B4-BE49-F238E27FC236}">
              <a16:creationId xmlns:a16="http://schemas.microsoft.com/office/drawing/2014/main" id="{A9E6F867-DA9F-AE85-4E99-1F83D39B0ED4}"/>
            </a:ext>
          </a:extLst>
        </xdr:cNvPr>
        <xdr:cNvSpPr/>
      </xdr:nvSpPr>
      <xdr:spPr>
        <a:xfrm>
          <a:off x="1333500" y="373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2</a:t>
          </a:r>
        </a:p>
      </xdr:txBody>
    </xdr:sp>
    <xdr:clientData/>
  </xdr:twoCellAnchor>
  <xdr:twoCellAnchor>
    <xdr:from>
      <xdr:col>2</xdr:col>
      <xdr:colOff>304800</xdr:colOff>
      <xdr:row>16</xdr:row>
      <xdr:rowOff>66675</xdr:rowOff>
    </xdr:from>
    <xdr:to>
      <xdr:col>2</xdr:col>
      <xdr:colOff>304800</xdr:colOff>
      <xdr:row>19</xdr:row>
      <xdr:rowOff>66675</xdr:rowOff>
    </xdr:to>
    <xdr:cxnSp macro="">
      <xdr:nvCxnSpPr>
        <xdr:cNvPr id="13" name="lin_Splitter 4_9">
          <a:extLst>
            <a:ext uri="{FF2B5EF4-FFF2-40B4-BE49-F238E27FC236}">
              <a16:creationId xmlns:a16="http://schemas.microsoft.com/office/drawing/2014/main" id="{4A2F5E0D-548E-18B8-13AF-ADF04501EFA2}"/>
            </a:ext>
          </a:extLst>
        </xdr:cNvPr>
        <xdr:cNvCxnSpPr/>
      </xdr:nvCxnSpPr>
      <xdr:spPr>
        <a:xfrm>
          <a:off x="1524000" y="316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24</xdr:row>
      <xdr:rowOff>66675</xdr:rowOff>
    </xdr:from>
    <xdr:to>
      <xdr:col>2</xdr:col>
      <xdr:colOff>495300</xdr:colOff>
      <xdr:row>26</xdr:row>
      <xdr:rowOff>66675</xdr:rowOff>
    </xdr:to>
    <xdr:sp macro="" textlink="">
      <xdr:nvSpPr>
        <xdr:cNvPr id="16" name="sym_Splitter 4_10">
          <a:extLst>
            <a:ext uri="{FF2B5EF4-FFF2-40B4-BE49-F238E27FC236}">
              <a16:creationId xmlns:a16="http://schemas.microsoft.com/office/drawing/2014/main" id="{27DFEC3B-C528-27F4-EE0C-13EB18A725F6}"/>
            </a:ext>
          </a:extLst>
        </xdr:cNvPr>
        <xdr:cNvSpPr/>
      </xdr:nvSpPr>
      <xdr:spPr>
        <a:xfrm>
          <a:off x="1333500" y="468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3</a:t>
          </a:r>
        </a:p>
      </xdr:txBody>
    </xdr:sp>
    <xdr:clientData/>
  </xdr:twoCellAnchor>
  <xdr:twoCellAnchor>
    <xdr:from>
      <xdr:col>2</xdr:col>
      <xdr:colOff>304800</xdr:colOff>
      <xdr:row>21</xdr:row>
      <xdr:rowOff>66675</xdr:rowOff>
    </xdr:from>
    <xdr:to>
      <xdr:col>2</xdr:col>
      <xdr:colOff>304800</xdr:colOff>
      <xdr:row>24</xdr:row>
      <xdr:rowOff>66675</xdr:rowOff>
    </xdr:to>
    <xdr:cxnSp macro="">
      <xdr:nvCxnSpPr>
        <xdr:cNvPr id="17" name="lin_Splitter 4_10">
          <a:extLst>
            <a:ext uri="{FF2B5EF4-FFF2-40B4-BE49-F238E27FC236}">
              <a16:creationId xmlns:a16="http://schemas.microsoft.com/office/drawing/2014/main" id="{87CDFECA-A0D0-D277-E56F-FB021030EE41}"/>
            </a:ext>
          </a:extLst>
        </xdr:cNvPr>
        <xdr:cNvCxnSpPr/>
      </xdr:nvCxnSpPr>
      <xdr:spPr>
        <a:xfrm>
          <a:off x="1524000" y="4114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29</xdr:row>
      <xdr:rowOff>66675</xdr:rowOff>
    </xdr:from>
    <xdr:to>
      <xdr:col>2</xdr:col>
      <xdr:colOff>495300</xdr:colOff>
      <xdr:row>31</xdr:row>
      <xdr:rowOff>66675</xdr:rowOff>
    </xdr:to>
    <xdr:sp macro="" textlink="">
      <xdr:nvSpPr>
        <xdr:cNvPr id="20" name="sym_Splitter 4_11">
          <a:extLst>
            <a:ext uri="{FF2B5EF4-FFF2-40B4-BE49-F238E27FC236}">
              <a16:creationId xmlns:a16="http://schemas.microsoft.com/office/drawing/2014/main" id="{835D95A4-9822-6687-79B7-FF3A71030EB7}"/>
            </a:ext>
          </a:extLst>
        </xdr:cNvPr>
        <xdr:cNvSpPr/>
      </xdr:nvSpPr>
      <xdr:spPr>
        <a:xfrm>
          <a:off x="1333500" y="563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4</a:t>
          </a:r>
        </a:p>
      </xdr:txBody>
    </xdr:sp>
    <xdr:clientData/>
  </xdr:twoCellAnchor>
  <xdr:twoCellAnchor>
    <xdr:from>
      <xdr:col>2</xdr:col>
      <xdr:colOff>304800</xdr:colOff>
      <xdr:row>26</xdr:row>
      <xdr:rowOff>66675</xdr:rowOff>
    </xdr:from>
    <xdr:to>
      <xdr:col>2</xdr:col>
      <xdr:colOff>304800</xdr:colOff>
      <xdr:row>29</xdr:row>
      <xdr:rowOff>66675</xdr:rowOff>
    </xdr:to>
    <xdr:cxnSp macro="">
      <xdr:nvCxnSpPr>
        <xdr:cNvPr id="21" name="lin_Splitter 4_11">
          <a:extLst>
            <a:ext uri="{FF2B5EF4-FFF2-40B4-BE49-F238E27FC236}">
              <a16:creationId xmlns:a16="http://schemas.microsoft.com/office/drawing/2014/main" id="{05D53E09-9372-DC2F-D89D-9407F6688F2E}"/>
            </a:ext>
          </a:extLst>
        </xdr:cNvPr>
        <xdr:cNvCxnSpPr/>
      </xdr:nvCxnSpPr>
      <xdr:spPr>
        <a:xfrm>
          <a:off x="1524000" y="506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34</xdr:row>
      <xdr:rowOff>66675</xdr:rowOff>
    </xdr:from>
    <xdr:to>
      <xdr:col>2</xdr:col>
      <xdr:colOff>495300</xdr:colOff>
      <xdr:row>36</xdr:row>
      <xdr:rowOff>66675</xdr:rowOff>
    </xdr:to>
    <xdr:sp macro="" textlink="">
      <xdr:nvSpPr>
        <xdr:cNvPr id="24" name="sym_Splitter 4_12">
          <a:extLst>
            <a:ext uri="{FF2B5EF4-FFF2-40B4-BE49-F238E27FC236}">
              <a16:creationId xmlns:a16="http://schemas.microsoft.com/office/drawing/2014/main" id="{C93E76E1-E634-6C21-1D22-14166C6D5BCD}"/>
            </a:ext>
          </a:extLst>
        </xdr:cNvPr>
        <xdr:cNvSpPr/>
      </xdr:nvSpPr>
      <xdr:spPr>
        <a:xfrm>
          <a:off x="1333500" y="659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5</a:t>
          </a:r>
        </a:p>
      </xdr:txBody>
    </xdr:sp>
    <xdr:clientData/>
  </xdr:twoCellAnchor>
  <xdr:twoCellAnchor>
    <xdr:from>
      <xdr:col>2</xdr:col>
      <xdr:colOff>304800</xdr:colOff>
      <xdr:row>31</xdr:row>
      <xdr:rowOff>66675</xdr:rowOff>
    </xdr:from>
    <xdr:to>
      <xdr:col>2</xdr:col>
      <xdr:colOff>304800</xdr:colOff>
      <xdr:row>34</xdr:row>
      <xdr:rowOff>66675</xdr:rowOff>
    </xdr:to>
    <xdr:cxnSp macro="">
      <xdr:nvCxnSpPr>
        <xdr:cNvPr id="25" name="lin_Splitter 4_12">
          <a:extLst>
            <a:ext uri="{FF2B5EF4-FFF2-40B4-BE49-F238E27FC236}">
              <a16:creationId xmlns:a16="http://schemas.microsoft.com/office/drawing/2014/main" id="{3A3D95F1-A0A4-655B-0865-A504CCB41300}"/>
            </a:ext>
          </a:extLst>
        </xdr:cNvPr>
        <xdr:cNvCxnSpPr/>
      </xdr:nvCxnSpPr>
      <xdr:spPr>
        <a:xfrm>
          <a:off x="1524000" y="6019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39</xdr:row>
      <xdr:rowOff>66675</xdr:rowOff>
    </xdr:from>
    <xdr:to>
      <xdr:col>2</xdr:col>
      <xdr:colOff>495300</xdr:colOff>
      <xdr:row>41</xdr:row>
      <xdr:rowOff>66675</xdr:rowOff>
    </xdr:to>
    <xdr:sp macro="" textlink="">
      <xdr:nvSpPr>
        <xdr:cNvPr id="28" name="sym_Splitter 4_13">
          <a:extLst>
            <a:ext uri="{FF2B5EF4-FFF2-40B4-BE49-F238E27FC236}">
              <a16:creationId xmlns:a16="http://schemas.microsoft.com/office/drawing/2014/main" id="{F25917DA-BC6D-633A-2D4F-4C8FD16D23AF}"/>
            </a:ext>
          </a:extLst>
        </xdr:cNvPr>
        <xdr:cNvSpPr/>
      </xdr:nvSpPr>
      <xdr:spPr>
        <a:xfrm>
          <a:off x="1333500" y="754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6</a:t>
          </a:r>
        </a:p>
      </xdr:txBody>
    </xdr:sp>
    <xdr:clientData/>
  </xdr:twoCellAnchor>
  <xdr:twoCellAnchor>
    <xdr:from>
      <xdr:col>2</xdr:col>
      <xdr:colOff>304800</xdr:colOff>
      <xdr:row>36</xdr:row>
      <xdr:rowOff>66675</xdr:rowOff>
    </xdr:from>
    <xdr:to>
      <xdr:col>2</xdr:col>
      <xdr:colOff>304800</xdr:colOff>
      <xdr:row>39</xdr:row>
      <xdr:rowOff>66675</xdr:rowOff>
    </xdr:to>
    <xdr:cxnSp macro="">
      <xdr:nvCxnSpPr>
        <xdr:cNvPr id="29" name="lin_Splitter 4_13">
          <a:extLst>
            <a:ext uri="{FF2B5EF4-FFF2-40B4-BE49-F238E27FC236}">
              <a16:creationId xmlns:a16="http://schemas.microsoft.com/office/drawing/2014/main" id="{5A1608BA-2E7A-7E43-7646-29F4DCA68C97}"/>
            </a:ext>
          </a:extLst>
        </xdr:cNvPr>
        <xdr:cNvCxnSpPr/>
      </xdr:nvCxnSpPr>
      <xdr:spPr>
        <a:xfrm>
          <a:off x="1524000" y="697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40</xdr:row>
      <xdr:rowOff>66675</xdr:rowOff>
    </xdr:from>
    <xdr:to>
      <xdr:col>1</xdr:col>
      <xdr:colOff>326981</xdr:colOff>
      <xdr:row>42</xdr:row>
      <xdr:rowOff>30128</xdr:rowOff>
    </xdr:to>
    <xdr:sp macro="" textlink="">
      <xdr:nvSpPr>
        <xdr:cNvPr id="32" name="Rectangle 31">
          <a:extLst>
            <a:ext uri="{FF2B5EF4-FFF2-40B4-BE49-F238E27FC236}">
              <a16:creationId xmlns:a16="http://schemas.microsoft.com/office/drawing/2014/main" id="{B3E77C38-CEEA-40E6-BD92-E496A85E4F38}"/>
            </a:ext>
          </a:extLst>
        </xdr:cNvPr>
        <xdr:cNvSpPr/>
      </xdr:nvSpPr>
      <xdr:spPr>
        <a:xfrm>
          <a:off x="282619" y="7734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-18.79dBm</a:t>
          </a:r>
        </a:p>
      </xdr:txBody>
    </xdr:sp>
    <xdr:clientData/>
  </xdr:twoCellAnchor>
  <xdr:twoCellAnchor>
    <xdr:from>
      <xdr:col>1</xdr:col>
      <xdr:colOff>326981</xdr:colOff>
      <xdr:row>40</xdr:row>
      <xdr:rowOff>66675</xdr:rowOff>
    </xdr:from>
    <xdr:to>
      <xdr:col>2</xdr:col>
      <xdr:colOff>114300</xdr:colOff>
      <xdr:row>40</xdr:row>
      <xdr:rowOff>66675</xdr:rowOff>
    </xdr:to>
    <xdr:cxnSp macro="">
      <xdr:nvCxnSpPr>
        <xdr:cNvPr id="33" name="Straight Arrow Connector 32">
          <a:extLst>
            <a:ext uri="{FF2B5EF4-FFF2-40B4-BE49-F238E27FC236}">
              <a16:creationId xmlns:a16="http://schemas.microsoft.com/office/drawing/2014/main" id="{E9FB5A31-AED2-34E3-93E1-2564F5F8DE7E}"/>
            </a:ext>
          </a:extLst>
        </xdr:cNvPr>
        <xdr:cNvCxnSpPr/>
      </xdr:nvCxnSpPr>
      <xdr:spPr>
        <a:xfrm>
          <a:off x="936581" y="7734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44</xdr:row>
      <xdr:rowOff>66675</xdr:rowOff>
    </xdr:from>
    <xdr:to>
      <xdr:col>2</xdr:col>
      <xdr:colOff>495300</xdr:colOff>
      <xdr:row>46</xdr:row>
      <xdr:rowOff>66675</xdr:rowOff>
    </xdr:to>
    <xdr:sp macro="" textlink="">
      <xdr:nvSpPr>
        <xdr:cNvPr id="34" name="sym_Splitter 4_14">
          <a:extLst>
            <a:ext uri="{FF2B5EF4-FFF2-40B4-BE49-F238E27FC236}">
              <a16:creationId xmlns:a16="http://schemas.microsoft.com/office/drawing/2014/main" id="{8C65CC14-B1A3-66A2-167F-D2A5D24F2870}"/>
            </a:ext>
          </a:extLst>
        </xdr:cNvPr>
        <xdr:cNvSpPr/>
      </xdr:nvSpPr>
      <xdr:spPr>
        <a:xfrm>
          <a:off x="1333500" y="8496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7</a:t>
          </a:r>
        </a:p>
      </xdr:txBody>
    </xdr:sp>
    <xdr:clientData/>
  </xdr:twoCellAnchor>
  <xdr:twoCellAnchor>
    <xdr:from>
      <xdr:col>2</xdr:col>
      <xdr:colOff>304800</xdr:colOff>
      <xdr:row>41</xdr:row>
      <xdr:rowOff>66675</xdr:rowOff>
    </xdr:from>
    <xdr:to>
      <xdr:col>2</xdr:col>
      <xdr:colOff>304800</xdr:colOff>
      <xdr:row>44</xdr:row>
      <xdr:rowOff>66675</xdr:rowOff>
    </xdr:to>
    <xdr:cxnSp macro="">
      <xdr:nvCxnSpPr>
        <xdr:cNvPr id="35" name="lin_Splitter 4_14">
          <a:extLst>
            <a:ext uri="{FF2B5EF4-FFF2-40B4-BE49-F238E27FC236}">
              <a16:creationId xmlns:a16="http://schemas.microsoft.com/office/drawing/2014/main" id="{363EFB57-89EF-2119-BE6A-B52B40A0EB42}"/>
            </a:ext>
          </a:extLst>
        </xdr:cNvPr>
        <xdr:cNvCxnSpPr/>
      </xdr:nvCxnSpPr>
      <xdr:spPr>
        <a:xfrm>
          <a:off x="1524000" y="7924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45</xdr:row>
      <xdr:rowOff>66675</xdr:rowOff>
    </xdr:from>
    <xdr:to>
      <xdr:col>1</xdr:col>
      <xdr:colOff>326981</xdr:colOff>
      <xdr:row>47</xdr:row>
      <xdr:rowOff>30128</xdr:rowOff>
    </xdr:to>
    <xdr:sp macro="" textlink="">
      <xdr:nvSpPr>
        <xdr:cNvPr id="38" name="Rectangle 37">
          <a:extLst>
            <a:ext uri="{FF2B5EF4-FFF2-40B4-BE49-F238E27FC236}">
              <a16:creationId xmlns:a16="http://schemas.microsoft.com/office/drawing/2014/main" id="{8C884FED-5899-570F-7EB8-699BD18B82EF}"/>
            </a:ext>
          </a:extLst>
        </xdr:cNvPr>
        <xdr:cNvSpPr/>
      </xdr:nvSpPr>
      <xdr:spPr>
        <a:xfrm>
          <a:off x="282619" y="8686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-19.13dBm</a:t>
          </a:r>
        </a:p>
      </xdr:txBody>
    </xdr:sp>
    <xdr:clientData/>
  </xdr:twoCellAnchor>
  <xdr:twoCellAnchor>
    <xdr:from>
      <xdr:col>1</xdr:col>
      <xdr:colOff>326981</xdr:colOff>
      <xdr:row>45</xdr:row>
      <xdr:rowOff>66675</xdr:rowOff>
    </xdr:from>
    <xdr:to>
      <xdr:col>2</xdr:col>
      <xdr:colOff>114300</xdr:colOff>
      <xdr:row>45</xdr:row>
      <xdr:rowOff>66675</xdr:rowOff>
    </xdr:to>
    <xdr:cxnSp macro="">
      <xdr:nvCxnSpPr>
        <xdr:cNvPr id="39" name="Straight Arrow Connector 38">
          <a:extLst>
            <a:ext uri="{FF2B5EF4-FFF2-40B4-BE49-F238E27FC236}">
              <a16:creationId xmlns:a16="http://schemas.microsoft.com/office/drawing/2014/main" id="{C1C539D7-AE8E-086A-0BF0-9197211B5AF5}"/>
            </a:ext>
          </a:extLst>
        </xdr:cNvPr>
        <xdr:cNvCxnSpPr/>
      </xdr:nvCxnSpPr>
      <xdr:spPr>
        <a:xfrm>
          <a:off x="936581" y="8686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49</xdr:row>
      <xdr:rowOff>66675</xdr:rowOff>
    </xdr:from>
    <xdr:to>
      <xdr:col>2</xdr:col>
      <xdr:colOff>495300</xdr:colOff>
      <xdr:row>51</xdr:row>
      <xdr:rowOff>66675</xdr:rowOff>
    </xdr:to>
    <xdr:sp macro="" textlink="">
      <xdr:nvSpPr>
        <xdr:cNvPr id="40" name="sym_Splitter 4_15">
          <a:extLst>
            <a:ext uri="{FF2B5EF4-FFF2-40B4-BE49-F238E27FC236}">
              <a16:creationId xmlns:a16="http://schemas.microsoft.com/office/drawing/2014/main" id="{24FDF7F9-1904-BE00-9FDF-C9623E030EFD}"/>
            </a:ext>
          </a:extLst>
        </xdr:cNvPr>
        <xdr:cNvSpPr/>
      </xdr:nvSpPr>
      <xdr:spPr>
        <a:xfrm>
          <a:off x="1333500" y="9448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8</a:t>
          </a:r>
        </a:p>
      </xdr:txBody>
    </xdr:sp>
    <xdr:clientData/>
  </xdr:twoCellAnchor>
  <xdr:twoCellAnchor>
    <xdr:from>
      <xdr:col>2</xdr:col>
      <xdr:colOff>304800</xdr:colOff>
      <xdr:row>46</xdr:row>
      <xdr:rowOff>66675</xdr:rowOff>
    </xdr:from>
    <xdr:to>
      <xdr:col>2</xdr:col>
      <xdr:colOff>304800</xdr:colOff>
      <xdr:row>49</xdr:row>
      <xdr:rowOff>66675</xdr:rowOff>
    </xdr:to>
    <xdr:cxnSp macro="">
      <xdr:nvCxnSpPr>
        <xdr:cNvPr id="41" name="lin_Splitter 4_15">
          <a:extLst>
            <a:ext uri="{FF2B5EF4-FFF2-40B4-BE49-F238E27FC236}">
              <a16:creationId xmlns:a16="http://schemas.microsoft.com/office/drawing/2014/main" id="{A96F86C7-AB52-5B0C-E62B-7A67E71E430E}"/>
            </a:ext>
          </a:extLst>
        </xdr:cNvPr>
        <xdr:cNvCxnSpPr/>
      </xdr:nvCxnSpPr>
      <xdr:spPr>
        <a:xfrm>
          <a:off x="1524000" y="8877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50</xdr:row>
      <xdr:rowOff>66675</xdr:rowOff>
    </xdr:from>
    <xdr:to>
      <xdr:col>1</xdr:col>
      <xdr:colOff>326981</xdr:colOff>
      <xdr:row>52</xdr:row>
      <xdr:rowOff>30128</xdr:rowOff>
    </xdr:to>
    <xdr:sp macro="" textlink="">
      <xdr:nvSpPr>
        <xdr:cNvPr id="44" name="Rectangle 43">
          <a:extLst>
            <a:ext uri="{FF2B5EF4-FFF2-40B4-BE49-F238E27FC236}">
              <a16:creationId xmlns:a16="http://schemas.microsoft.com/office/drawing/2014/main" id="{0959D68F-E8DD-9264-426B-016835FD0FF8}"/>
            </a:ext>
          </a:extLst>
        </xdr:cNvPr>
        <xdr:cNvSpPr/>
      </xdr:nvSpPr>
      <xdr:spPr>
        <a:xfrm>
          <a:off x="282619" y="9639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-19.26dBm</a:t>
          </a:r>
        </a:p>
      </xdr:txBody>
    </xdr:sp>
    <xdr:clientData/>
  </xdr:twoCellAnchor>
  <xdr:twoCellAnchor>
    <xdr:from>
      <xdr:col>1</xdr:col>
      <xdr:colOff>326981</xdr:colOff>
      <xdr:row>50</xdr:row>
      <xdr:rowOff>66675</xdr:rowOff>
    </xdr:from>
    <xdr:to>
      <xdr:col>2</xdr:col>
      <xdr:colOff>114300</xdr:colOff>
      <xdr:row>50</xdr:row>
      <xdr:rowOff>66675</xdr:rowOff>
    </xdr:to>
    <xdr:cxnSp macro="">
      <xdr:nvCxnSpPr>
        <xdr:cNvPr id="45" name="Straight Arrow Connector 44">
          <a:extLst>
            <a:ext uri="{FF2B5EF4-FFF2-40B4-BE49-F238E27FC236}">
              <a16:creationId xmlns:a16="http://schemas.microsoft.com/office/drawing/2014/main" id="{FAB9AF8B-8E31-F17E-5603-A9230C6189CA}"/>
            </a:ext>
          </a:extLst>
        </xdr:cNvPr>
        <xdr:cNvCxnSpPr/>
      </xdr:nvCxnSpPr>
      <xdr:spPr>
        <a:xfrm>
          <a:off x="936581" y="9639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54</xdr:row>
      <xdr:rowOff>66675</xdr:rowOff>
    </xdr:from>
    <xdr:to>
      <xdr:col>2</xdr:col>
      <xdr:colOff>495300</xdr:colOff>
      <xdr:row>56</xdr:row>
      <xdr:rowOff>66675</xdr:rowOff>
    </xdr:to>
    <xdr:sp macro="" textlink="">
      <xdr:nvSpPr>
        <xdr:cNvPr id="46" name="sym_Splitter 4_16">
          <a:extLst>
            <a:ext uri="{FF2B5EF4-FFF2-40B4-BE49-F238E27FC236}">
              <a16:creationId xmlns:a16="http://schemas.microsoft.com/office/drawing/2014/main" id="{011F24C1-9E2B-D4ED-A19E-6A6E8BE7402F}"/>
            </a:ext>
          </a:extLst>
        </xdr:cNvPr>
        <xdr:cNvSpPr/>
      </xdr:nvSpPr>
      <xdr:spPr>
        <a:xfrm>
          <a:off x="1333500" y="1040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9</a:t>
          </a:r>
        </a:p>
      </xdr:txBody>
    </xdr:sp>
    <xdr:clientData/>
  </xdr:twoCellAnchor>
  <xdr:twoCellAnchor>
    <xdr:from>
      <xdr:col>2</xdr:col>
      <xdr:colOff>304800</xdr:colOff>
      <xdr:row>51</xdr:row>
      <xdr:rowOff>66675</xdr:rowOff>
    </xdr:from>
    <xdr:to>
      <xdr:col>2</xdr:col>
      <xdr:colOff>304800</xdr:colOff>
      <xdr:row>54</xdr:row>
      <xdr:rowOff>66675</xdr:rowOff>
    </xdr:to>
    <xdr:cxnSp macro="">
      <xdr:nvCxnSpPr>
        <xdr:cNvPr id="47" name="lin_Splitter 4_16">
          <a:extLst>
            <a:ext uri="{FF2B5EF4-FFF2-40B4-BE49-F238E27FC236}">
              <a16:creationId xmlns:a16="http://schemas.microsoft.com/office/drawing/2014/main" id="{D8EDAFD7-146E-F0D6-D9B1-9DE771211157}"/>
            </a:ext>
          </a:extLst>
        </xdr:cNvPr>
        <xdr:cNvCxnSpPr/>
      </xdr:nvCxnSpPr>
      <xdr:spPr>
        <a:xfrm>
          <a:off x="1524000" y="98298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282619</xdr:colOff>
      <xdr:row>55</xdr:row>
      <xdr:rowOff>66675</xdr:rowOff>
    </xdr:from>
    <xdr:to>
      <xdr:col>1</xdr:col>
      <xdr:colOff>326981</xdr:colOff>
      <xdr:row>57</xdr:row>
      <xdr:rowOff>30128</xdr:rowOff>
    </xdr:to>
    <xdr:sp macro="" textlink="">
      <xdr:nvSpPr>
        <xdr:cNvPr id="50" name="Rectangle 49">
          <a:extLst>
            <a:ext uri="{FF2B5EF4-FFF2-40B4-BE49-F238E27FC236}">
              <a16:creationId xmlns:a16="http://schemas.microsoft.com/office/drawing/2014/main" id="{D64666D5-B0B5-33E3-84C5-588A94FF0E32}"/>
            </a:ext>
          </a:extLst>
        </xdr:cNvPr>
        <xdr:cNvSpPr/>
      </xdr:nvSpPr>
      <xdr:spPr>
        <a:xfrm>
          <a:off x="282619" y="105918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-19.36dBm</a:t>
          </a:r>
        </a:p>
      </xdr:txBody>
    </xdr:sp>
    <xdr:clientData/>
  </xdr:twoCellAnchor>
  <xdr:twoCellAnchor>
    <xdr:from>
      <xdr:col>1</xdr:col>
      <xdr:colOff>326981</xdr:colOff>
      <xdr:row>55</xdr:row>
      <xdr:rowOff>66675</xdr:rowOff>
    </xdr:from>
    <xdr:to>
      <xdr:col>2</xdr:col>
      <xdr:colOff>114300</xdr:colOff>
      <xdr:row>55</xdr:row>
      <xdr:rowOff>66675</xdr:rowOff>
    </xdr:to>
    <xdr:cxnSp macro="">
      <xdr:nvCxnSpPr>
        <xdr:cNvPr id="51" name="Straight Arrow Connector 50">
          <a:extLst>
            <a:ext uri="{FF2B5EF4-FFF2-40B4-BE49-F238E27FC236}">
              <a16:creationId xmlns:a16="http://schemas.microsoft.com/office/drawing/2014/main" id="{E92CFD86-3972-4695-15B8-4995F0B4E97E}"/>
            </a:ext>
          </a:extLst>
        </xdr:cNvPr>
        <xdr:cNvCxnSpPr/>
      </xdr:nvCxnSpPr>
      <xdr:spPr>
        <a:xfrm>
          <a:off x="936581" y="105918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495300</xdr:colOff>
      <xdr:row>35</xdr:row>
      <xdr:rowOff>66675</xdr:rowOff>
    </xdr:from>
    <xdr:to>
      <xdr:col>8</xdr:col>
      <xdr:colOff>0</xdr:colOff>
      <xdr:row>35</xdr:row>
      <xdr:rowOff>66675</xdr:rowOff>
    </xdr:to>
    <xdr:cxnSp macro="">
      <xdr:nvCxnSpPr>
        <xdr:cNvPr id="52" name="Straight Arrow Connector 51">
          <a:extLst>
            <a:ext uri="{FF2B5EF4-FFF2-40B4-BE49-F238E27FC236}">
              <a16:creationId xmlns:a16="http://schemas.microsoft.com/office/drawing/2014/main" id="{B61125C7-7318-BB8A-1803-8667EAB4DC18}"/>
            </a:ext>
          </a:extLst>
        </xdr:cNvPr>
        <xdr:cNvCxnSpPr/>
      </xdr:nvCxnSpPr>
      <xdr:spPr>
        <a:xfrm>
          <a:off x="1714500" y="6781800"/>
          <a:ext cx="31623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419100</xdr:colOff>
      <xdr:row>39</xdr:row>
      <xdr:rowOff>66675</xdr:rowOff>
    </xdr:from>
    <xdr:to>
      <xdr:col>8</xdr:col>
      <xdr:colOff>190500</xdr:colOff>
      <xdr:row>41</xdr:row>
      <xdr:rowOff>66675</xdr:rowOff>
    </xdr:to>
    <xdr:sp macro="" textlink="">
      <xdr:nvSpPr>
        <xdr:cNvPr id="54" name="sym_Splitter 4_75" descr="Splitter 4~12">
          <a:extLst>
            <a:ext uri="{FF2B5EF4-FFF2-40B4-BE49-F238E27FC236}">
              <a16:creationId xmlns:a16="http://schemas.microsoft.com/office/drawing/2014/main" id="{5767B810-16EB-2AF6-9A08-10FB1D2B6402}"/>
            </a:ext>
          </a:extLst>
        </xdr:cNvPr>
        <xdr:cNvSpPr/>
      </xdr:nvSpPr>
      <xdr:spPr>
        <a:xfrm>
          <a:off x="4686300" y="754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8</xdr:col>
      <xdr:colOff>0</xdr:colOff>
      <xdr:row>35</xdr:row>
      <xdr:rowOff>66675</xdr:rowOff>
    </xdr:from>
    <xdr:to>
      <xdr:col>8</xdr:col>
      <xdr:colOff>0</xdr:colOff>
      <xdr:row>39</xdr:row>
      <xdr:rowOff>66675</xdr:rowOff>
    </xdr:to>
    <xdr:cxnSp macro="">
      <xdr:nvCxnSpPr>
        <xdr:cNvPr id="55" name="lin_Splitter 4_75">
          <a:extLst>
            <a:ext uri="{FF2B5EF4-FFF2-40B4-BE49-F238E27FC236}">
              <a16:creationId xmlns:a16="http://schemas.microsoft.com/office/drawing/2014/main" id="{B4CF79F4-0699-14D8-2C31-45AD19546718}"/>
            </a:ext>
          </a:extLst>
        </xdr:cNvPr>
        <xdr:cNvCxnSpPr/>
      </xdr:nvCxnSpPr>
      <xdr:spPr>
        <a:xfrm>
          <a:off x="4876800" y="6781800"/>
          <a:ext cx="0" cy="7620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587419</xdr:colOff>
      <xdr:row>40</xdr:row>
      <xdr:rowOff>66675</xdr:rowOff>
    </xdr:from>
    <xdr:to>
      <xdr:col>7</xdr:col>
      <xdr:colOff>22181</xdr:colOff>
      <xdr:row>42</xdr:row>
      <xdr:rowOff>30128</xdr:rowOff>
    </xdr:to>
    <xdr:sp macro="" textlink="">
      <xdr:nvSpPr>
        <xdr:cNvPr id="58" name="Rectangle 57">
          <a:extLst>
            <a:ext uri="{FF2B5EF4-FFF2-40B4-BE49-F238E27FC236}">
              <a16:creationId xmlns:a16="http://schemas.microsoft.com/office/drawing/2014/main" id="{EE65E01C-EE2C-4207-3350-780EF8833895}"/>
            </a:ext>
          </a:extLst>
        </xdr:cNvPr>
        <xdr:cNvSpPr/>
      </xdr:nvSpPr>
      <xdr:spPr>
        <a:xfrm>
          <a:off x="3635419" y="7734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-19.99dBm</a:t>
          </a:r>
        </a:p>
      </xdr:txBody>
    </xdr:sp>
    <xdr:clientData/>
  </xdr:twoCellAnchor>
  <xdr:twoCellAnchor>
    <xdr:from>
      <xdr:col>7</xdr:col>
      <xdr:colOff>22181</xdr:colOff>
      <xdr:row>40</xdr:row>
      <xdr:rowOff>66675</xdr:rowOff>
    </xdr:from>
    <xdr:to>
      <xdr:col>7</xdr:col>
      <xdr:colOff>419100</xdr:colOff>
      <xdr:row>40</xdr:row>
      <xdr:rowOff>66675</xdr:rowOff>
    </xdr:to>
    <xdr:cxnSp macro="">
      <xdr:nvCxnSpPr>
        <xdr:cNvPr id="59" name="Straight Arrow Connector 58">
          <a:extLst>
            <a:ext uri="{FF2B5EF4-FFF2-40B4-BE49-F238E27FC236}">
              <a16:creationId xmlns:a16="http://schemas.microsoft.com/office/drawing/2014/main" id="{25640431-010B-90E5-6DD9-E96B24A10187}"/>
            </a:ext>
          </a:extLst>
        </xdr:cNvPr>
        <xdr:cNvCxnSpPr/>
      </xdr:nvCxnSpPr>
      <xdr:spPr>
        <a:xfrm>
          <a:off x="4289381" y="7734300"/>
          <a:ext cx="396919"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495300</xdr:colOff>
      <xdr:row>30</xdr:row>
      <xdr:rowOff>66675</xdr:rowOff>
    </xdr:from>
    <xdr:to>
      <xdr:col>13</xdr:col>
      <xdr:colOff>304800</xdr:colOff>
      <xdr:row>30</xdr:row>
      <xdr:rowOff>66675</xdr:rowOff>
    </xdr:to>
    <xdr:cxnSp macro="">
      <xdr:nvCxnSpPr>
        <xdr:cNvPr id="60" name="Straight Arrow Connector 59">
          <a:extLst>
            <a:ext uri="{FF2B5EF4-FFF2-40B4-BE49-F238E27FC236}">
              <a16:creationId xmlns:a16="http://schemas.microsoft.com/office/drawing/2014/main" id="{17731B80-3936-7C31-7094-E63A33335152}"/>
            </a:ext>
          </a:extLst>
        </xdr:cNvPr>
        <xdr:cNvCxnSpPr/>
      </xdr:nvCxnSpPr>
      <xdr:spPr>
        <a:xfrm>
          <a:off x="1714500" y="5829300"/>
          <a:ext cx="65151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114300</xdr:colOff>
      <xdr:row>34</xdr:row>
      <xdr:rowOff>66675</xdr:rowOff>
    </xdr:from>
    <xdr:to>
      <xdr:col>13</xdr:col>
      <xdr:colOff>495300</xdr:colOff>
      <xdr:row>36</xdr:row>
      <xdr:rowOff>66675</xdr:rowOff>
    </xdr:to>
    <xdr:sp macro="" textlink="">
      <xdr:nvSpPr>
        <xdr:cNvPr id="62" name="sym_Splitter 4_43" descr="Splitter 4~11">
          <a:extLst>
            <a:ext uri="{FF2B5EF4-FFF2-40B4-BE49-F238E27FC236}">
              <a16:creationId xmlns:a16="http://schemas.microsoft.com/office/drawing/2014/main" id="{9B4864FC-8B1E-7C1A-3721-0923AE9CD8DF}"/>
            </a:ext>
          </a:extLst>
        </xdr:cNvPr>
        <xdr:cNvSpPr/>
      </xdr:nvSpPr>
      <xdr:spPr>
        <a:xfrm>
          <a:off x="8039100" y="65913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1</a:t>
          </a:r>
        </a:p>
      </xdr:txBody>
    </xdr:sp>
    <xdr:clientData/>
  </xdr:twoCellAnchor>
  <xdr:twoCellAnchor>
    <xdr:from>
      <xdr:col>13</xdr:col>
      <xdr:colOff>304800</xdr:colOff>
      <xdr:row>30</xdr:row>
      <xdr:rowOff>66675</xdr:rowOff>
    </xdr:from>
    <xdr:to>
      <xdr:col>13</xdr:col>
      <xdr:colOff>304800</xdr:colOff>
      <xdr:row>34</xdr:row>
      <xdr:rowOff>66675</xdr:rowOff>
    </xdr:to>
    <xdr:cxnSp macro="">
      <xdr:nvCxnSpPr>
        <xdr:cNvPr id="63" name="lin_Splitter 4_43">
          <a:extLst>
            <a:ext uri="{FF2B5EF4-FFF2-40B4-BE49-F238E27FC236}">
              <a16:creationId xmlns:a16="http://schemas.microsoft.com/office/drawing/2014/main" id="{00F119B0-BC31-1AFB-CEA8-88D2B38C761A}"/>
            </a:ext>
          </a:extLst>
        </xdr:cNvPr>
        <xdr:cNvCxnSpPr/>
      </xdr:nvCxnSpPr>
      <xdr:spPr>
        <a:xfrm>
          <a:off x="8229600" y="5829300"/>
          <a:ext cx="0" cy="7620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114300</xdr:colOff>
      <xdr:row>39</xdr:row>
      <xdr:rowOff>66675</xdr:rowOff>
    </xdr:from>
    <xdr:to>
      <xdr:col>13</xdr:col>
      <xdr:colOff>495300</xdr:colOff>
      <xdr:row>41</xdr:row>
      <xdr:rowOff>66675</xdr:rowOff>
    </xdr:to>
    <xdr:sp macro="" textlink="">
      <xdr:nvSpPr>
        <xdr:cNvPr id="66" name="sym_Splitter 4_44">
          <a:extLst>
            <a:ext uri="{FF2B5EF4-FFF2-40B4-BE49-F238E27FC236}">
              <a16:creationId xmlns:a16="http://schemas.microsoft.com/office/drawing/2014/main" id="{9C3C829E-8294-5630-2BEC-E931BDA52010}"/>
            </a:ext>
          </a:extLst>
        </xdr:cNvPr>
        <xdr:cNvSpPr/>
      </xdr:nvSpPr>
      <xdr:spPr>
        <a:xfrm>
          <a:off x="8039100" y="7543800"/>
          <a:ext cx="381000" cy="381000"/>
        </a:xfrm>
        <a:prstGeom prst="diamond">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lang="en-US" sz="1100"/>
            <a:t>2</a:t>
          </a:r>
        </a:p>
      </xdr:txBody>
    </xdr:sp>
    <xdr:clientData/>
  </xdr:twoCellAnchor>
  <xdr:twoCellAnchor>
    <xdr:from>
      <xdr:col>13</xdr:col>
      <xdr:colOff>304800</xdr:colOff>
      <xdr:row>36</xdr:row>
      <xdr:rowOff>66675</xdr:rowOff>
    </xdr:from>
    <xdr:to>
      <xdr:col>13</xdr:col>
      <xdr:colOff>304800</xdr:colOff>
      <xdr:row>39</xdr:row>
      <xdr:rowOff>66675</xdr:rowOff>
    </xdr:to>
    <xdr:cxnSp macro="">
      <xdr:nvCxnSpPr>
        <xdr:cNvPr id="67" name="lin_Splitter 4_44">
          <a:extLst>
            <a:ext uri="{FF2B5EF4-FFF2-40B4-BE49-F238E27FC236}">
              <a16:creationId xmlns:a16="http://schemas.microsoft.com/office/drawing/2014/main" id="{58F0B7CE-AB02-3EA7-58CD-83B73828B242}"/>
            </a:ext>
          </a:extLst>
        </xdr:cNvPr>
        <xdr:cNvCxnSpPr/>
      </xdr:nvCxnSpPr>
      <xdr:spPr>
        <a:xfrm>
          <a:off x="8229600" y="6972300"/>
          <a:ext cx="0" cy="571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282619</xdr:colOff>
      <xdr:row>40</xdr:row>
      <xdr:rowOff>66675</xdr:rowOff>
    </xdr:from>
    <xdr:to>
      <xdr:col>12</xdr:col>
      <xdr:colOff>326981</xdr:colOff>
      <xdr:row>42</xdr:row>
      <xdr:rowOff>30128</xdr:rowOff>
    </xdr:to>
    <xdr:sp macro="" textlink="">
      <xdr:nvSpPr>
        <xdr:cNvPr id="70" name="Rectangle 69">
          <a:extLst>
            <a:ext uri="{FF2B5EF4-FFF2-40B4-BE49-F238E27FC236}">
              <a16:creationId xmlns:a16="http://schemas.microsoft.com/office/drawing/2014/main" id="{19925A1A-AE6C-6751-4107-092A824FF36B}"/>
            </a:ext>
          </a:extLst>
        </xdr:cNvPr>
        <xdr:cNvSpPr/>
      </xdr:nvSpPr>
      <xdr:spPr>
        <a:xfrm>
          <a:off x="6988219" y="7734300"/>
          <a:ext cx="653962" cy="34445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2700" tIns="0" rIns="12700" bIns="0" rtlCol="0" anchor="ctr">
          <a:spAutoFit/>
        </a:bodyPr>
        <a:lstStyle/>
        <a:p>
          <a:pPr algn="ctr"/>
          <a:r>
            <a:rPr lang="en-US" sz="1100"/>
            <a:t>ONT</a:t>
          </a:r>
        </a:p>
        <a:p>
          <a:pPr algn="ctr"/>
          <a:r>
            <a:rPr lang="en-US" sz="1100"/>
            <a:t>-22.98dBm</a:t>
          </a:r>
        </a:p>
      </xdr:txBody>
    </xdr:sp>
    <xdr:clientData/>
  </xdr:twoCellAnchor>
  <xdr:twoCellAnchor>
    <xdr:from>
      <xdr:col>12</xdr:col>
      <xdr:colOff>326982</xdr:colOff>
      <xdr:row>40</xdr:row>
      <xdr:rowOff>66675</xdr:rowOff>
    </xdr:from>
    <xdr:to>
      <xdr:col>13</xdr:col>
      <xdr:colOff>114300</xdr:colOff>
      <xdr:row>40</xdr:row>
      <xdr:rowOff>66675</xdr:rowOff>
    </xdr:to>
    <xdr:cxnSp macro="">
      <xdr:nvCxnSpPr>
        <xdr:cNvPr id="71" name="Straight Arrow Connector 70">
          <a:extLst>
            <a:ext uri="{FF2B5EF4-FFF2-40B4-BE49-F238E27FC236}">
              <a16:creationId xmlns:a16="http://schemas.microsoft.com/office/drawing/2014/main" id="{ED0F3A73-5981-6CFF-2A21-5B448419AACC}"/>
            </a:ext>
          </a:extLst>
        </xdr:cNvPr>
        <xdr:cNvCxnSpPr/>
      </xdr:nvCxnSpPr>
      <xdr:spPr>
        <a:xfrm>
          <a:off x="7642182" y="7734300"/>
          <a:ext cx="396918"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a:spPr>
      <a:bodyPr vertOverflow="clip" horzOverflow="clip" vert="horz" wrap="none" rtlCol="0" anchor="t">
        <a:spAutoFit/>
      </a:bodyPr>
      <a:lstStyle>
        <a:defPPr algn="l">
          <a:defRPr sz="1100"/>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indstream.sharepoint.com/:x:/r/sites/CentralizedEngineering/Shared%20Documents/Standards%20%26%20Engineering%20INFO/Cascaded%20Design%20Standards/Cascaded%20Overview%20Guide%20(supporting%20docs)/L-Route.xlsx?d=we3cee5f9be2048b79048c912499c56e1&amp;csf=1&amp;web=1&amp;e=KI8lwr"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omments" Target="../comments1.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image" Target="../media/image7.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10.xml"/><Relationship Id="rId5" Type="http://schemas.openxmlformats.org/officeDocument/2006/relationships/image" Target="../media/image5.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image" Target="../media/image7.emf"/><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ontrol" Target="../activeX/activeX12.xml"/><Relationship Id="rId5" Type="http://schemas.openxmlformats.org/officeDocument/2006/relationships/image" Target="../media/image5.emf"/><Relationship Id="rId4"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891D4-15DA-476E-A20A-20DE4524FAB9}">
  <sheetPr codeName="Sheet5"/>
  <dimension ref="A1:C110"/>
  <sheetViews>
    <sheetView topLeftCell="A99" zoomScaleNormal="100" workbookViewId="0">
      <selection activeCell="A14" sqref="A14"/>
    </sheetView>
  </sheetViews>
  <sheetFormatPr defaultRowHeight="15" x14ac:dyDescent="0.25"/>
  <cols>
    <col min="1" max="1" width="109.5703125" customWidth="1"/>
    <col min="2" max="2" width="11.140625" style="7" bestFit="1" customWidth="1"/>
    <col min="3" max="3" width="14.140625" style="7" bestFit="1" customWidth="1"/>
  </cols>
  <sheetData>
    <row r="1" spans="1:3" ht="50.25" customHeight="1" x14ac:dyDescent="0.25">
      <c r="A1" s="39" t="s">
        <v>0</v>
      </c>
    </row>
    <row r="2" spans="1:3" ht="21" x14ac:dyDescent="0.35">
      <c r="A2" s="71" t="s">
        <v>1</v>
      </c>
      <c r="B2"/>
      <c r="C2"/>
    </row>
    <row r="3" spans="1:3" ht="30" x14ac:dyDescent="0.25">
      <c r="A3" s="15" t="s">
        <v>2</v>
      </c>
      <c r="B3"/>
      <c r="C3"/>
    </row>
    <row r="4" spans="1:3" ht="30" x14ac:dyDescent="0.25">
      <c r="A4" s="15" t="s">
        <v>3</v>
      </c>
      <c r="B4"/>
      <c r="C4"/>
    </row>
    <row r="5" spans="1:3" x14ac:dyDescent="0.25">
      <c r="A5" s="15" t="s">
        <v>4</v>
      </c>
      <c r="B5"/>
      <c r="C5"/>
    </row>
    <row r="6" spans="1:3" x14ac:dyDescent="0.25">
      <c r="A6" s="15" t="s">
        <v>5</v>
      </c>
      <c r="B6"/>
      <c r="C6"/>
    </row>
    <row r="7" spans="1:3" x14ac:dyDescent="0.25">
      <c r="A7" s="15" t="s">
        <v>6</v>
      </c>
      <c r="B7"/>
      <c r="C7"/>
    </row>
    <row r="8" spans="1:3" ht="30" x14ac:dyDescent="0.25">
      <c r="A8" s="15" t="s">
        <v>7</v>
      </c>
      <c r="B8"/>
      <c r="C8"/>
    </row>
    <row r="9" spans="1:3" x14ac:dyDescent="0.25">
      <c r="A9" s="15" t="s">
        <v>8</v>
      </c>
    </row>
    <row r="10" spans="1:3" ht="45.75" x14ac:dyDescent="0.25">
      <c r="A10" s="15" t="s">
        <v>9</v>
      </c>
    </row>
    <row r="11" spans="1:3" ht="30" x14ac:dyDescent="0.25">
      <c r="A11" s="15" t="s">
        <v>10</v>
      </c>
    </row>
    <row r="12" spans="1:3" x14ac:dyDescent="0.25">
      <c r="A12" s="15"/>
    </row>
    <row r="13" spans="1:3" ht="21" x14ac:dyDescent="0.35">
      <c r="A13" s="71" t="s">
        <v>11</v>
      </c>
    </row>
    <row r="14" spans="1:3" ht="18.75" x14ac:dyDescent="0.3">
      <c r="A14" s="72" t="s">
        <v>12</v>
      </c>
    </row>
    <row r="15" spans="1:3" x14ac:dyDescent="0.25">
      <c r="A15" s="15" t="s">
        <v>13</v>
      </c>
    </row>
    <row r="16" spans="1:3" ht="30" x14ac:dyDescent="0.25">
      <c r="A16" s="15" t="s">
        <v>14</v>
      </c>
    </row>
    <row r="17" spans="1:1" x14ac:dyDescent="0.25">
      <c r="A17" s="15" t="s">
        <v>15</v>
      </c>
    </row>
    <row r="18" spans="1:1" x14ac:dyDescent="0.25">
      <c r="A18" s="15" t="s">
        <v>16</v>
      </c>
    </row>
    <row r="19" spans="1:1" x14ac:dyDescent="0.25">
      <c r="A19" s="15" t="s">
        <v>17</v>
      </c>
    </row>
    <row r="20" spans="1:1" ht="45" x14ac:dyDescent="0.25">
      <c r="A20" s="15" t="s">
        <v>18</v>
      </c>
    </row>
    <row r="21" spans="1:1" x14ac:dyDescent="0.25">
      <c r="A21" s="15" t="s">
        <v>19</v>
      </c>
    </row>
    <row r="22" spans="1:1" x14ac:dyDescent="0.25">
      <c r="A22" s="15" t="s">
        <v>20</v>
      </c>
    </row>
    <row r="23" spans="1:1" x14ac:dyDescent="0.25">
      <c r="A23" s="15"/>
    </row>
    <row r="24" spans="1:1" ht="30" x14ac:dyDescent="0.25">
      <c r="A24" s="15" t="s">
        <v>21</v>
      </c>
    </row>
    <row r="25" spans="1:1" ht="30" x14ac:dyDescent="0.25">
      <c r="A25" s="15" t="s">
        <v>22</v>
      </c>
    </row>
    <row r="26" spans="1:1" x14ac:dyDescent="0.25">
      <c r="A26" s="15"/>
    </row>
    <row r="27" spans="1:1" ht="21" x14ac:dyDescent="0.35">
      <c r="A27" s="71" t="s">
        <v>23</v>
      </c>
    </row>
    <row r="28" spans="1:1" ht="30" x14ac:dyDescent="0.25">
      <c r="A28" s="15" t="s">
        <v>24</v>
      </c>
    </row>
    <row r="29" spans="1:1" x14ac:dyDescent="0.25">
      <c r="A29" s="15" t="s">
        <v>25</v>
      </c>
    </row>
    <row r="30" spans="1:1" x14ac:dyDescent="0.25">
      <c r="A30" s="15"/>
    </row>
    <row r="31" spans="1:1" ht="20.25" customHeight="1" x14ac:dyDescent="0.35">
      <c r="A31" s="71" t="s">
        <v>26</v>
      </c>
    </row>
    <row r="32" spans="1:1" ht="30" x14ac:dyDescent="0.25">
      <c r="A32" s="15" t="s">
        <v>27</v>
      </c>
    </row>
    <row r="33" spans="1:1" ht="30" x14ac:dyDescent="0.25">
      <c r="A33" s="15" t="s">
        <v>28</v>
      </c>
    </row>
    <row r="34" spans="1:1" ht="30" x14ac:dyDescent="0.25">
      <c r="A34" s="15" t="s">
        <v>29</v>
      </c>
    </row>
    <row r="35" spans="1:1" ht="30" x14ac:dyDescent="0.25">
      <c r="A35" s="74" t="s">
        <v>30</v>
      </c>
    </row>
    <row r="36" spans="1:1" x14ac:dyDescent="0.25">
      <c r="A36" s="15" t="s">
        <v>31</v>
      </c>
    </row>
    <row r="37" spans="1:1" x14ac:dyDescent="0.25">
      <c r="A37" s="15"/>
    </row>
    <row r="38" spans="1:1" ht="63" x14ac:dyDescent="0.35">
      <c r="A38" s="57" t="s">
        <v>32</v>
      </c>
    </row>
    <row r="39" spans="1:1" x14ac:dyDescent="0.25">
      <c r="A39" s="15"/>
    </row>
    <row r="40" spans="1:1" ht="21" x14ac:dyDescent="0.35">
      <c r="A40" s="71" t="s">
        <v>33</v>
      </c>
    </row>
    <row r="41" spans="1:1" ht="30" x14ac:dyDescent="0.25">
      <c r="A41" s="15" t="s">
        <v>34</v>
      </c>
    </row>
    <row r="42" spans="1:1" x14ac:dyDescent="0.25">
      <c r="A42" s="15" t="s">
        <v>35</v>
      </c>
    </row>
    <row r="43" spans="1:1" ht="18" customHeight="1" x14ac:dyDescent="0.25">
      <c r="A43" s="15" t="s">
        <v>36</v>
      </c>
    </row>
    <row r="44" spans="1:1" x14ac:dyDescent="0.25">
      <c r="A44" s="15" t="s">
        <v>37</v>
      </c>
    </row>
    <row r="45" spans="1:1" x14ac:dyDescent="0.25">
      <c r="A45" s="15"/>
    </row>
    <row r="46" spans="1:1" x14ac:dyDescent="0.25">
      <c r="A46" s="15"/>
    </row>
    <row r="47" spans="1:1" x14ac:dyDescent="0.25">
      <c r="A47" s="15"/>
    </row>
    <row r="48" spans="1:1" x14ac:dyDescent="0.25">
      <c r="A48" s="15"/>
    </row>
    <row r="49" spans="1:1" x14ac:dyDescent="0.25">
      <c r="A49" s="15"/>
    </row>
    <row r="50" spans="1:1" x14ac:dyDescent="0.25">
      <c r="A50" s="15"/>
    </row>
    <row r="51" spans="1:1" x14ac:dyDescent="0.25">
      <c r="A51" s="15"/>
    </row>
    <row r="52" spans="1:1" x14ac:dyDescent="0.25">
      <c r="A52" s="15"/>
    </row>
    <row r="53" spans="1:1" x14ac:dyDescent="0.25">
      <c r="A53" s="15"/>
    </row>
    <row r="54" spans="1:1" x14ac:dyDescent="0.25">
      <c r="A54" s="15"/>
    </row>
    <row r="55" spans="1:1" x14ac:dyDescent="0.25">
      <c r="A55" s="15"/>
    </row>
    <row r="56" spans="1:1" x14ac:dyDescent="0.25">
      <c r="A56" s="15"/>
    </row>
    <row r="57" spans="1:1" x14ac:dyDescent="0.25">
      <c r="A57" s="15"/>
    </row>
    <row r="58" spans="1:1" x14ac:dyDescent="0.25">
      <c r="A58" s="15"/>
    </row>
    <row r="59" spans="1:1" x14ac:dyDescent="0.25">
      <c r="A59" s="15"/>
    </row>
    <row r="60" spans="1:1" x14ac:dyDescent="0.25">
      <c r="A60" s="15"/>
    </row>
    <row r="61" spans="1:1" x14ac:dyDescent="0.25">
      <c r="A61" s="15"/>
    </row>
    <row r="62" spans="1:1" x14ac:dyDescent="0.25">
      <c r="A62" s="15"/>
    </row>
    <row r="63" spans="1:1" x14ac:dyDescent="0.25">
      <c r="A63" s="15"/>
    </row>
    <row r="64" spans="1:1" x14ac:dyDescent="0.25">
      <c r="A64" s="15"/>
    </row>
    <row r="65" spans="1:1" x14ac:dyDescent="0.25">
      <c r="A65" s="15"/>
    </row>
    <row r="66" spans="1:1" x14ac:dyDescent="0.25">
      <c r="A66" s="15"/>
    </row>
    <row r="67" spans="1:1" x14ac:dyDescent="0.25">
      <c r="A67" s="15"/>
    </row>
    <row r="68" spans="1:1" x14ac:dyDescent="0.25">
      <c r="A68" s="15"/>
    </row>
    <row r="69" spans="1:1" x14ac:dyDescent="0.25">
      <c r="A69" s="15"/>
    </row>
    <row r="70" spans="1:1" x14ac:dyDescent="0.25">
      <c r="A70" s="15"/>
    </row>
    <row r="71" spans="1:1" x14ac:dyDescent="0.25">
      <c r="A71" s="15"/>
    </row>
    <row r="72" spans="1:1" ht="45" x14ac:dyDescent="0.25">
      <c r="A72" s="15" t="s">
        <v>38</v>
      </c>
    </row>
    <row r="73" spans="1:1" x14ac:dyDescent="0.25">
      <c r="A73" s="15"/>
    </row>
    <row r="74" spans="1:1" ht="30" x14ac:dyDescent="0.25">
      <c r="A74" s="15" t="s">
        <v>39</v>
      </c>
    </row>
    <row r="75" spans="1:1" x14ac:dyDescent="0.25">
      <c r="A75" s="15" t="s">
        <v>40</v>
      </c>
    </row>
    <row r="76" spans="1:1" x14ac:dyDescent="0.25">
      <c r="A76" s="15"/>
    </row>
    <row r="77" spans="1:1" ht="30" x14ac:dyDescent="0.25">
      <c r="A77" s="15" t="s">
        <v>41</v>
      </c>
    </row>
    <row r="78" spans="1:1" x14ac:dyDescent="0.25">
      <c r="A78" s="15" t="s">
        <v>42</v>
      </c>
    </row>
    <row r="79" spans="1:1" x14ac:dyDescent="0.25">
      <c r="A79" s="15"/>
    </row>
    <row r="80" spans="1:1" ht="21" x14ac:dyDescent="0.35">
      <c r="A80" s="71" t="s">
        <v>43</v>
      </c>
    </row>
    <row r="81" spans="1:1" x14ac:dyDescent="0.25">
      <c r="A81" s="15" t="s">
        <v>44</v>
      </c>
    </row>
    <row r="82" spans="1:1" x14ac:dyDescent="0.25">
      <c r="A82" s="15" t="s">
        <v>45</v>
      </c>
    </row>
    <row r="83" spans="1:1" x14ac:dyDescent="0.25">
      <c r="A83" s="15"/>
    </row>
    <row r="84" spans="1:1" ht="21" x14ac:dyDescent="0.35">
      <c r="A84" s="71" t="s">
        <v>46</v>
      </c>
    </row>
    <row r="85" spans="1:1" ht="30" x14ac:dyDescent="0.25">
      <c r="A85" s="15" t="s">
        <v>47</v>
      </c>
    </row>
    <row r="86" spans="1:1" ht="30" x14ac:dyDescent="0.25">
      <c r="A86" s="15" t="s">
        <v>48</v>
      </c>
    </row>
    <row r="87" spans="1:1" x14ac:dyDescent="0.25">
      <c r="A87" s="73" t="s">
        <v>49</v>
      </c>
    </row>
    <row r="88" spans="1:1" x14ac:dyDescent="0.25">
      <c r="A88" s="15"/>
    </row>
    <row r="89" spans="1:1" ht="21" x14ac:dyDescent="0.35">
      <c r="A89" s="71" t="s">
        <v>50</v>
      </c>
    </row>
    <row r="90" spans="1:1" ht="30" x14ac:dyDescent="0.25">
      <c r="A90" s="15" t="s">
        <v>51</v>
      </c>
    </row>
    <row r="91" spans="1:1" ht="15.75" customHeight="1" x14ac:dyDescent="0.25">
      <c r="A91" s="15" t="s">
        <v>52</v>
      </c>
    </row>
    <row r="92" spans="1:1" x14ac:dyDescent="0.25">
      <c r="A92" s="15" t="s">
        <v>53</v>
      </c>
    </row>
    <row r="110" spans="2:3" x14ac:dyDescent="0.25">
      <c r="B110"/>
      <c r="C110"/>
    </row>
  </sheetData>
  <sheetProtection algorithmName="SHA-512" hashValue="Mu/yyMH4vFdLtGYwDx3+wy9YFSDxC7oDKDF3+n/gbuPVQtRAp1nCaZj44C3v4MkaBrTF3uwxhBw1IE5I+TqUlg==" saltValue="Et2PhYoX4HbENIlKJGSzRA==" spinCount="100000" sheet="1" objects="1" scenarios="1"/>
  <hyperlinks>
    <hyperlink ref="A87" r:id="rId1" display="https://windstream.sharepoint.com/:x:/r/sites/CentralizedEngineering/Shared Documents/Standards %26 Engineering INFO/Cascaded Design Standards/Cascaded Overview Guide (supporting docs)/L-Route.xlsx?d=we3cee5f9be2048b79048c912499c56e1&amp;csf=1&amp;web=1&amp;e=KI8lwr" xr:uid="{3F3A950E-6164-4DCD-91FE-52DDE526EA48}"/>
  </hyperlinks>
  <pageMargins left="0.7" right="0.7" top="0.75" bottom="0.75" header="0.3" footer="0.3"/>
  <pageSetup orientation="portrait" r:id="rId2"/>
  <headerFooter>
    <oddFooter>&amp;L&amp;1#&amp;"Calibri"&amp;8&amp;K000000Sensitivity: Internal</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0977F-663F-44B7-B84A-9FA1244FD64D}">
  <sheetPr codeName="Sheet3"/>
  <dimension ref="B1:E53"/>
  <sheetViews>
    <sheetView zoomScaleNormal="100" workbookViewId="0"/>
  </sheetViews>
  <sheetFormatPr defaultRowHeight="15" x14ac:dyDescent="0.25"/>
  <cols>
    <col min="2" max="2" width="16.5703125" bestFit="1" customWidth="1"/>
    <col min="3" max="3" width="15.140625" bestFit="1" customWidth="1"/>
  </cols>
  <sheetData>
    <row r="1" spans="2:5" ht="50.25" customHeight="1" x14ac:dyDescent="0.25"/>
    <row r="2" spans="2:5" x14ac:dyDescent="0.25">
      <c r="B2" t="s">
        <v>54</v>
      </c>
    </row>
    <row r="3" spans="2:5" x14ac:dyDescent="0.25">
      <c r="B3" s="59" t="s">
        <v>55</v>
      </c>
      <c r="C3" s="2">
        <v>3.25</v>
      </c>
    </row>
    <row r="4" spans="2:5" x14ac:dyDescent="0.25">
      <c r="B4" s="59" t="s">
        <v>56</v>
      </c>
      <c r="C4" s="2">
        <v>5</v>
      </c>
    </row>
    <row r="5" spans="2:5" x14ac:dyDescent="0.25">
      <c r="B5" s="59" t="s">
        <v>57</v>
      </c>
      <c r="C5" s="2">
        <v>3.25</v>
      </c>
    </row>
    <row r="6" spans="2:5" x14ac:dyDescent="0.25">
      <c r="B6" s="59" t="s">
        <v>58</v>
      </c>
      <c r="C6" s="2">
        <v>0</v>
      </c>
    </row>
    <row r="7" spans="2:5" x14ac:dyDescent="0.25">
      <c r="B7" s="59"/>
      <c r="C7" s="2"/>
    </row>
    <row r="9" spans="2:5" x14ac:dyDescent="0.25">
      <c r="B9" t="s">
        <v>59</v>
      </c>
    </row>
    <row r="10" spans="2:5" x14ac:dyDescent="0.25">
      <c r="B10" t="s">
        <v>60</v>
      </c>
      <c r="C10" s="2">
        <v>-27</v>
      </c>
    </row>
    <row r="11" spans="2:5" x14ac:dyDescent="0.25">
      <c r="E11">
        <v>0</v>
      </c>
    </row>
    <row r="12" spans="2:5" x14ac:dyDescent="0.25">
      <c r="C12" t="s">
        <v>61</v>
      </c>
      <c r="D12" t="s">
        <v>62</v>
      </c>
      <c r="E12" t="s">
        <v>63</v>
      </c>
    </row>
    <row r="13" spans="2:5" x14ac:dyDescent="0.25">
      <c r="B13" s="62" t="s">
        <v>64</v>
      </c>
      <c r="C13" s="54">
        <v>0.1</v>
      </c>
      <c r="D13" s="54">
        <v>3.5000000000000003E-2</v>
      </c>
      <c r="E13" s="54">
        <v>0.02</v>
      </c>
    </row>
    <row r="14" spans="2:5" x14ac:dyDescent="0.25">
      <c r="B14" s="63" t="s">
        <v>65</v>
      </c>
      <c r="C14" s="54">
        <v>0.2</v>
      </c>
      <c r="D14" s="54">
        <v>0.1</v>
      </c>
      <c r="E14" s="54">
        <v>0.1</v>
      </c>
    </row>
    <row r="15" spans="2:5" x14ac:dyDescent="0.25">
      <c r="B15" s="63" t="s">
        <v>66</v>
      </c>
      <c r="D15" s="3">
        <v>1.03631996683776E-4</v>
      </c>
    </row>
    <row r="16" spans="2:5" x14ac:dyDescent="0.25">
      <c r="B16" s="63"/>
      <c r="D16" s="23"/>
      <c r="E16">
        <v>0</v>
      </c>
    </row>
    <row r="17" spans="2:5" x14ac:dyDescent="0.25">
      <c r="C17" t="s">
        <v>61</v>
      </c>
      <c r="D17" t="s">
        <v>62</v>
      </c>
      <c r="E17" t="s">
        <v>63</v>
      </c>
    </row>
    <row r="18" spans="2:5" x14ac:dyDescent="0.25">
      <c r="B18" t="s">
        <v>67</v>
      </c>
      <c r="C18" s="2">
        <v>3.7</v>
      </c>
      <c r="D18" s="2">
        <v>3.35</v>
      </c>
      <c r="E18" s="2">
        <v>3</v>
      </c>
    </row>
    <row r="19" spans="2:5" x14ac:dyDescent="0.25">
      <c r="B19" t="s">
        <v>68</v>
      </c>
      <c r="C19" s="2">
        <v>7</v>
      </c>
      <c r="D19" s="2">
        <v>6.4</v>
      </c>
      <c r="E19" s="2">
        <v>5.8</v>
      </c>
    </row>
    <row r="20" spans="2:5" x14ac:dyDescent="0.25">
      <c r="B20" t="s">
        <v>69</v>
      </c>
      <c r="C20" s="2">
        <v>10.4</v>
      </c>
      <c r="D20" s="2">
        <v>9.5</v>
      </c>
      <c r="E20" s="2">
        <v>8.6999999999999993</v>
      </c>
    </row>
    <row r="22" spans="2:5" x14ac:dyDescent="0.25">
      <c r="B22" t="s">
        <v>70</v>
      </c>
      <c r="D22" s="54">
        <v>2E-3</v>
      </c>
    </row>
    <row r="23" spans="2:5" x14ac:dyDescent="0.25">
      <c r="B23" t="s">
        <v>71</v>
      </c>
      <c r="D23" s="54">
        <v>3.5000000000000003E-2</v>
      </c>
    </row>
    <row r="24" spans="2:5" x14ac:dyDescent="0.25">
      <c r="B24" t="s">
        <v>72</v>
      </c>
      <c r="D24" s="54">
        <v>0.1</v>
      </c>
    </row>
    <row r="25" spans="2:5" x14ac:dyDescent="0.25">
      <c r="B25" t="s">
        <v>73</v>
      </c>
      <c r="D25" s="54">
        <v>0.35</v>
      </c>
    </row>
    <row r="26" spans="2:5" x14ac:dyDescent="0.25">
      <c r="B26" t="s">
        <v>74</v>
      </c>
      <c r="D26" s="54">
        <v>0.1</v>
      </c>
    </row>
    <row r="27" spans="2:5" x14ac:dyDescent="0.25">
      <c r="B27" t="s">
        <v>75</v>
      </c>
      <c r="D27" s="54">
        <v>0.1</v>
      </c>
    </row>
    <row r="29" spans="2:5" x14ac:dyDescent="0.25">
      <c r="B29" t="s">
        <v>76</v>
      </c>
    </row>
    <row r="30" spans="2:5" x14ac:dyDescent="0.25">
      <c r="B30" t="s">
        <v>77</v>
      </c>
      <c r="C30" s="54">
        <v>6.4</v>
      </c>
    </row>
    <row r="31" spans="2:5" x14ac:dyDescent="0.25">
      <c r="B31" t="s">
        <v>78</v>
      </c>
      <c r="C31" s="54">
        <v>9.5</v>
      </c>
    </row>
    <row r="32" spans="2:5" x14ac:dyDescent="0.25">
      <c r="B32" t="s">
        <v>79</v>
      </c>
      <c r="C32" s="54">
        <v>13</v>
      </c>
    </row>
    <row r="33" spans="2:4" x14ac:dyDescent="0.25">
      <c r="B33" t="s">
        <v>80</v>
      </c>
      <c r="C33" s="54">
        <v>16.100000000000001</v>
      </c>
    </row>
    <row r="34" spans="2:4" x14ac:dyDescent="0.25">
      <c r="B34" t="s">
        <v>81</v>
      </c>
      <c r="C34" s="54">
        <v>18.5</v>
      </c>
    </row>
    <row r="36" spans="2:4" x14ac:dyDescent="0.25">
      <c r="C36" t="s">
        <v>82</v>
      </c>
      <c r="D36" t="s">
        <v>83</v>
      </c>
    </row>
    <row r="37" spans="2:4" x14ac:dyDescent="0.25">
      <c r="B37" t="s">
        <v>84</v>
      </c>
      <c r="C37" s="58">
        <v>2</v>
      </c>
      <c r="D37" s="58">
        <v>2</v>
      </c>
    </row>
    <row r="38" spans="2:4" x14ac:dyDescent="0.25">
      <c r="C38" s="58">
        <v>4</v>
      </c>
      <c r="D38" s="58">
        <v>4</v>
      </c>
    </row>
    <row r="39" spans="2:4" x14ac:dyDescent="0.25">
      <c r="C39" s="58">
        <v>8</v>
      </c>
      <c r="D39" s="58">
        <v>0</v>
      </c>
    </row>
    <row r="40" spans="2:4" x14ac:dyDescent="0.25">
      <c r="C40" s="58">
        <v>0</v>
      </c>
      <c r="D40" s="58"/>
    </row>
    <row r="43" spans="2:4" x14ac:dyDescent="0.25">
      <c r="B43" t="s">
        <v>85</v>
      </c>
    </row>
    <row r="44" spans="2:4" x14ac:dyDescent="0.25">
      <c r="B44" t="s">
        <v>86</v>
      </c>
    </row>
    <row r="45" spans="2:4" x14ac:dyDescent="0.25">
      <c r="C45" t="s">
        <v>87</v>
      </c>
      <c r="D45" t="s">
        <v>88</v>
      </c>
    </row>
    <row r="46" spans="2:4" x14ac:dyDescent="0.25">
      <c r="B46" s="59" t="s">
        <v>89</v>
      </c>
      <c r="C46" s="58" t="s">
        <v>90</v>
      </c>
      <c r="D46" s="2">
        <v>73.81</v>
      </c>
    </row>
    <row r="47" spans="2:4" x14ac:dyDescent="0.25">
      <c r="B47" s="59" t="s">
        <v>91</v>
      </c>
      <c r="C47" s="58" t="s">
        <v>92</v>
      </c>
      <c r="D47" s="2">
        <v>144.03</v>
      </c>
    </row>
    <row r="48" spans="2:4" x14ac:dyDescent="0.25">
      <c r="B48" s="59" t="s">
        <v>93</v>
      </c>
      <c r="C48" s="58"/>
      <c r="D48" s="2"/>
    </row>
    <row r="49" spans="2:4" x14ac:dyDescent="0.25">
      <c r="B49" s="59" t="s">
        <v>94</v>
      </c>
      <c r="C49" s="58" t="s">
        <v>95</v>
      </c>
      <c r="D49" s="2">
        <v>33.76</v>
      </c>
    </row>
    <row r="50" spans="2:4" x14ac:dyDescent="0.25">
      <c r="B50" s="59"/>
      <c r="C50" s="58"/>
      <c r="D50" s="58"/>
    </row>
    <row r="51" spans="2:4" x14ac:dyDescent="0.25">
      <c r="B51" s="59"/>
      <c r="C51" s="58"/>
      <c r="D51" s="58"/>
    </row>
    <row r="52" spans="2:4" x14ac:dyDescent="0.25">
      <c r="B52" s="59"/>
      <c r="C52" s="58"/>
      <c r="D52" s="58"/>
    </row>
    <row r="53" spans="2:4" x14ac:dyDescent="0.25">
      <c r="B53" s="59"/>
      <c r="C53" s="58"/>
      <c r="D53" s="58"/>
    </row>
  </sheetData>
  <sheetProtection algorithmName="SHA-512" hashValue="KGPaPuhNriOcqfXCI9SiBtKPHjmU9sSw4m90aRjJU/cdygFM2AcVQuHpO1Ek8OFMOmFRnhoI/4KlFZWE3oVHaQ==" saltValue="yMW8FtcTYiIXmNBrDyCkrw==" spinCount="100000" sheet="1" objects="1" scenario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AB1C3-6F3E-4B60-95F4-D541CEFD4A97}">
  <sheetPr codeName="Sheet2"/>
  <dimension ref="A1:N24"/>
  <sheetViews>
    <sheetView zoomScaleNormal="100" workbookViewId="0">
      <pane ySplit="3" topLeftCell="A4" activePane="bottomLeft" state="frozen"/>
      <selection pane="bottomLeft"/>
    </sheetView>
  </sheetViews>
  <sheetFormatPr defaultRowHeight="15" x14ac:dyDescent="0.25"/>
  <cols>
    <col min="1" max="1" width="8.85546875" bestFit="1" customWidth="1"/>
    <col min="2" max="2" width="25" bestFit="1" customWidth="1"/>
    <col min="3" max="3" width="8.28515625" customWidth="1"/>
    <col min="4" max="4" width="10.28515625" bestFit="1" customWidth="1"/>
    <col min="5" max="6" width="10" style="9" bestFit="1" customWidth="1"/>
    <col min="7" max="7" width="11.85546875" bestFit="1" customWidth="1"/>
    <col min="8" max="8" width="9.140625" style="9"/>
    <col min="9" max="9" width="3.140625" customWidth="1"/>
    <col min="10" max="10" width="14.5703125" bestFit="1" customWidth="1"/>
    <col min="11" max="12" width="9.140625" style="9"/>
    <col min="13" max="13" width="6.85546875" bestFit="1" customWidth="1"/>
    <col min="14" max="14" width="31.140625" bestFit="1" customWidth="1"/>
  </cols>
  <sheetData>
    <row r="1" spans="1:14" ht="49.5" customHeight="1" x14ac:dyDescent="0.3">
      <c r="A1" s="10"/>
      <c r="C1" s="1" t="s">
        <v>96</v>
      </c>
      <c r="D1" t="s">
        <v>97</v>
      </c>
    </row>
    <row r="2" spans="1:14" ht="18.75" x14ac:dyDescent="0.3">
      <c r="A2" s="10"/>
      <c r="D2" s="1" t="s">
        <v>98</v>
      </c>
      <c r="E2" s="11" t="str">
        <f>'Splitter 1'!J5</f>
        <v>Average</v>
      </c>
      <c r="F2" s="11" t="str">
        <f>'Splitter 1'!J5</f>
        <v>Average</v>
      </c>
      <c r="K2" s="9" t="s">
        <v>99</v>
      </c>
      <c r="L2" s="9" t="s">
        <v>100</v>
      </c>
    </row>
    <row r="3" spans="1:14" x14ac:dyDescent="0.25">
      <c r="A3" t="s">
        <v>101</v>
      </c>
      <c r="B3" t="s">
        <v>102</v>
      </c>
      <c r="C3" t="s">
        <v>86</v>
      </c>
      <c r="D3" t="s">
        <v>97</v>
      </c>
      <c r="E3" s="9" t="s">
        <v>103</v>
      </c>
      <c r="F3" s="9" t="s">
        <v>104</v>
      </c>
      <c r="G3" t="s">
        <v>105</v>
      </c>
      <c r="H3" s="9" t="s">
        <v>106</v>
      </c>
      <c r="J3" t="s">
        <v>107</v>
      </c>
      <c r="K3" s="9" t="s">
        <v>108</v>
      </c>
      <c r="L3" s="9" t="s">
        <v>109</v>
      </c>
      <c r="M3" s="9" t="s">
        <v>106</v>
      </c>
      <c r="N3" t="s">
        <v>110</v>
      </c>
    </row>
    <row r="4" spans="1:14" x14ac:dyDescent="0.25">
      <c r="A4">
        <f>D4</f>
        <v>0</v>
      </c>
      <c r="B4" s="59" t="s">
        <v>111</v>
      </c>
      <c r="C4" s="59" t="s">
        <v>112</v>
      </c>
      <c r="D4" s="59">
        <v>0</v>
      </c>
      <c r="E4" s="64">
        <v>0</v>
      </c>
      <c r="F4" s="64">
        <v>0</v>
      </c>
      <c r="G4" s="59" t="s">
        <v>112</v>
      </c>
      <c r="H4" s="64">
        <v>0</v>
      </c>
      <c r="I4" s="59"/>
      <c r="J4" s="59" t="s">
        <v>112</v>
      </c>
      <c r="K4" s="64">
        <v>0</v>
      </c>
      <c r="L4" s="64">
        <v>0</v>
      </c>
      <c r="M4" s="64">
        <f>H4</f>
        <v>0</v>
      </c>
      <c r="N4" s="65" t="s">
        <v>112</v>
      </c>
    </row>
    <row r="5" spans="1:14" x14ac:dyDescent="0.25">
      <c r="B5" s="59"/>
      <c r="C5" s="59"/>
      <c r="D5" s="59"/>
      <c r="E5" s="64"/>
      <c r="F5" s="64"/>
      <c r="G5" s="59"/>
      <c r="H5" s="64"/>
      <c r="I5" s="59"/>
      <c r="J5" s="59"/>
      <c r="K5" s="64"/>
      <c r="L5" s="64"/>
      <c r="M5" s="59"/>
      <c r="N5" s="59"/>
    </row>
    <row r="6" spans="1:14" x14ac:dyDescent="0.25">
      <c r="A6">
        <f t="shared" ref="A6:A10" si="0">D6</f>
        <v>2</v>
      </c>
      <c r="B6" s="59" t="s">
        <v>113</v>
      </c>
      <c r="C6" s="59" t="s">
        <v>114</v>
      </c>
      <c r="D6" s="59">
        <v>2</v>
      </c>
      <c r="E6" s="64">
        <v>0</v>
      </c>
      <c r="F6" s="64">
        <f>IF(F$2="Average",K6,L6)</f>
        <v>3.9400000000000004</v>
      </c>
      <c r="G6" s="59" t="s">
        <v>115</v>
      </c>
      <c r="H6" s="64">
        <v>51</v>
      </c>
      <c r="I6" s="59"/>
      <c r="J6" s="59" t="s">
        <v>116</v>
      </c>
      <c r="K6" s="64">
        <f>M22+(2*N18)</f>
        <v>3.9400000000000004</v>
      </c>
      <c r="L6" s="64">
        <f>M22+(2*0.25)</f>
        <v>4.2</v>
      </c>
      <c r="M6" s="64">
        <f>H6</f>
        <v>51</v>
      </c>
      <c r="N6" s="65" t="s">
        <v>113</v>
      </c>
    </row>
    <row r="7" spans="1:14" x14ac:dyDescent="0.25">
      <c r="B7" s="59"/>
      <c r="C7" s="59"/>
      <c r="D7" s="59"/>
      <c r="E7" s="64"/>
      <c r="F7" s="64"/>
      <c r="G7" s="59"/>
      <c r="H7" s="64"/>
      <c r="I7" s="59"/>
      <c r="J7" s="59"/>
      <c r="K7" s="64"/>
      <c r="L7" s="64"/>
      <c r="M7" s="64"/>
      <c r="N7" s="59"/>
    </row>
    <row r="8" spans="1:14" x14ac:dyDescent="0.25">
      <c r="A8">
        <f t="shared" si="0"/>
        <v>4</v>
      </c>
      <c r="B8" s="59" t="s">
        <v>117</v>
      </c>
      <c r="C8" s="59" t="s">
        <v>114</v>
      </c>
      <c r="D8" s="59">
        <v>4</v>
      </c>
      <c r="E8" s="64">
        <v>0</v>
      </c>
      <c r="F8" s="64">
        <f>IF(F$2="Average",K8,L8)</f>
        <v>7.24</v>
      </c>
      <c r="G8" s="59" t="s">
        <v>115</v>
      </c>
      <c r="H8" s="64">
        <v>55</v>
      </c>
      <c r="I8" s="59"/>
      <c r="J8" s="59" t="s">
        <v>118</v>
      </c>
      <c r="K8" s="64">
        <f>M23+(2*N18)</f>
        <v>7.24</v>
      </c>
      <c r="L8" s="64">
        <f>M23+(2*0.25)</f>
        <v>7.5</v>
      </c>
      <c r="M8" s="64">
        <f>H8</f>
        <v>55</v>
      </c>
      <c r="N8" s="65" t="s">
        <v>117</v>
      </c>
    </row>
    <row r="9" spans="1:14" x14ac:dyDescent="0.25">
      <c r="B9" s="59"/>
      <c r="C9" s="59"/>
      <c r="D9" s="59"/>
      <c r="E9" s="64"/>
      <c r="F9" s="64"/>
      <c r="G9" s="59"/>
      <c r="H9" s="64"/>
      <c r="I9" s="59"/>
      <c r="J9" s="59"/>
      <c r="K9" s="64"/>
      <c r="L9" s="64"/>
      <c r="M9" s="64"/>
      <c r="N9" s="59"/>
    </row>
    <row r="10" spans="1:14" x14ac:dyDescent="0.25">
      <c r="A10">
        <f t="shared" si="0"/>
        <v>8</v>
      </c>
      <c r="B10" s="59" t="s">
        <v>119</v>
      </c>
      <c r="C10" s="59" t="s">
        <v>114</v>
      </c>
      <c r="D10" s="59">
        <v>8</v>
      </c>
      <c r="E10" s="64">
        <v>0</v>
      </c>
      <c r="F10" s="64">
        <f>IF(F$2="Average",K10,L10)</f>
        <v>10.64</v>
      </c>
      <c r="G10" s="59" t="s">
        <v>115</v>
      </c>
      <c r="H10" s="64">
        <v>58</v>
      </c>
      <c r="I10" s="59"/>
      <c r="J10" s="59" t="s">
        <v>120</v>
      </c>
      <c r="K10" s="64">
        <f>M24+(2*N18)</f>
        <v>10.64</v>
      </c>
      <c r="L10" s="64">
        <f>M24+(2*0.25)</f>
        <v>10.9</v>
      </c>
      <c r="M10" s="64">
        <f>H10</f>
        <v>58</v>
      </c>
      <c r="N10" s="65" t="s">
        <v>119</v>
      </c>
    </row>
    <row r="11" spans="1:14" x14ac:dyDescent="0.25">
      <c r="B11" s="59"/>
      <c r="C11" s="59"/>
      <c r="D11" s="59"/>
      <c r="E11" s="64"/>
      <c r="F11" s="64"/>
      <c r="G11" s="59"/>
      <c r="H11" s="64"/>
      <c r="I11" s="59"/>
      <c r="J11" s="59"/>
      <c r="K11" s="64"/>
      <c r="L11" s="64"/>
      <c r="M11" s="64"/>
      <c r="N11" s="65"/>
    </row>
    <row r="17" spans="12:14" hidden="1" x14ac:dyDescent="0.25">
      <c r="L17" s="64"/>
      <c r="M17" s="66" t="s">
        <v>121</v>
      </c>
      <c r="N17" s="59"/>
    </row>
    <row r="18" spans="12:14" hidden="1" x14ac:dyDescent="0.25">
      <c r="L18" s="64"/>
      <c r="M18" s="66" t="s">
        <v>122</v>
      </c>
      <c r="N18" s="59">
        <v>0.12</v>
      </c>
    </row>
    <row r="19" spans="12:14" hidden="1" x14ac:dyDescent="0.25">
      <c r="L19" s="64"/>
      <c r="M19" s="66" t="s">
        <v>123</v>
      </c>
      <c r="N19" s="59">
        <v>0.02</v>
      </c>
    </row>
    <row r="20" spans="12:14" hidden="1" x14ac:dyDescent="0.25">
      <c r="L20" s="64"/>
      <c r="M20" s="59"/>
      <c r="N20" s="59"/>
    </row>
    <row r="21" spans="12:14" hidden="1" x14ac:dyDescent="0.25">
      <c r="L21" s="64"/>
      <c r="M21" s="67"/>
      <c r="N21" s="67" t="s">
        <v>124</v>
      </c>
    </row>
    <row r="22" spans="12:14" hidden="1" x14ac:dyDescent="0.25">
      <c r="L22" s="68">
        <v>2</v>
      </c>
      <c r="M22" s="69">
        <v>3.7</v>
      </c>
      <c r="N22" s="70">
        <f>M22/L22</f>
        <v>1.85</v>
      </c>
    </row>
    <row r="23" spans="12:14" hidden="1" x14ac:dyDescent="0.25">
      <c r="L23" s="68">
        <v>4</v>
      </c>
      <c r="M23" s="69">
        <v>7</v>
      </c>
      <c r="N23" s="70">
        <f t="shared" ref="N23:N24" si="1">M23/L23</f>
        <v>1.75</v>
      </c>
    </row>
    <row r="24" spans="12:14" hidden="1" x14ac:dyDescent="0.25">
      <c r="L24" s="68">
        <v>8</v>
      </c>
      <c r="M24" s="69">
        <v>10.4</v>
      </c>
      <c r="N24" s="70">
        <f t="shared" si="1"/>
        <v>1.3</v>
      </c>
    </row>
  </sheetData>
  <sheetProtection algorithmName="SHA-512" hashValue="KjfZ0/3fitY4vsB9ZZUfjnndyj3JlTDYkJUC3SBSdyEcDjv+IevvHfkHDRSAkA38OBliQYbX5xc9AR/IYyGnOQ==" saltValue="Qez9OTfAPf1NmQETY/WBQw==" spinCount="100000" sheet="1" objects="1" scenarios="1"/>
  <phoneticPr fontId="8" type="noConversion"/>
  <dataValidations count="1">
    <dataValidation type="list" allowBlank="1" showInputMessage="1" showErrorMessage="1" sqref="E2:F2" xr:uid="{BE7F7F3F-A827-4062-8A56-3C9C6631C69F}">
      <formula1>"Average,Maximum"</formula1>
    </dataValidation>
  </dataValidations>
  <pageMargins left="0.7" right="0.7" top="0.75" bottom="0.75" header="0.3" footer="0.3"/>
  <pageSetup orientation="portrait" r:id="rId1"/>
  <headerFooter>
    <oddFooter>&amp;L&amp;1#&amp;"Calibri"&amp;8&amp;K000000Sensitivity: Internal</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42F00-4CDC-4FCD-BC8C-D8C91F5DA618}">
  <sheetPr codeName="Sheet1">
    <pageSetUpPr fitToPage="1"/>
  </sheetPr>
  <dimension ref="A1:Z76"/>
  <sheetViews>
    <sheetView showGridLines="0" tabSelected="1" zoomScaleNormal="100" workbookViewId="0">
      <pane ySplit="7" topLeftCell="A14" activePane="bottomLeft" state="frozen"/>
      <selection pane="bottomLeft" activeCell="L25" sqref="L25:M25"/>
    </sheetView>
  </sheetViews>
  <sheetFormatPr defaultRowHeight="15" x14ac:dyDescent="0.25"/>
  <cols>
    <col min="1" max="1" width="10.42578125" customWidth="1"/>
    <col min="2" max="2" width="10.85546875" style="22" customWidth="1"/>
    <col min="3" max="3" width="15.140625" style="22" customWidth="1"/>
    <col min="4" max="4" width="8.85546875" style="9" bestFit="1" customWidth="1"/>
    <col min="5" max="5" width="10.42578125" bestFit="1" customWidth="1"/>
    <col min="6" max="6" width="9.5703125" customWidth="1"/>
    <col min="7" max="7" width="11.28515625" bestFit="1" customWidth="1"/>
    <col min="8" max="9" width="13.28515625" customWidth="1"/>
    <col min="10" max="10" width="13.28515625" style="7" bestFit="1" customWidth="1"/>
    <col min="11" max="11" width="19.7109375" customWidth="1"/>
    <col min="12" max="12" width="16.28515625" customWidth="1"/>
    <col min="13" max="13" width="14.140625" bestFit="1" customWidth="1"/>
    <col min="14" max="14" width="9.5703125" style="7" hidden="1" customWidth="1"/>
    <col min="15" max="15" width="9" style="8" hidden="1" customWidth="1"/>
    <col min="16" max="16" width="8.28515625" style="8" hidden="1" customWidth="1"/>
    <col min="17" max="18" width="16.5703125" style="8" hidden="1" customWidth="1"/>
    <col min="19" max="19" width="6.28515625" style="8" hidden="1" customWidth="1"/>
    <col min="20" max="26" width="9.140625" style="59"/>
  </cols>
  <sheetData>
    <row r="1" spans="1:26" ht="62.25" customHeight="1" x14ac:dyDescent="0.3">
      <c r="A1" s="75" t="s">
        <v>125</v>
      </c>
      <c r="B1" s="76"/>
      <c r="C1" s="77"/>
      <c r="D1" s="49"/>
      <c r="E1" s="24" t="s">
        <v>126</v>
      </c>
      <c r="F1" s="24" t="s">
        <v>127</v>
      </c>
      <c r="G1" s="24" t="s">
        <v>128</v>
      </c>
      <c r="H1" s="24" t="s">
        <v>129</v>
      </c>
      <c r="I1" s="24" t="s">
        <v>130</v>
      </c>
      <c r="J1" s="24" t="s">
        <v>131</v>
      </c>
      <c r="K1" s="24" t="s">
        <v>132</v>
      </c>
      <c r="L1" s="24" t="s">
        <v>133</v>
      </c>
      <c r="M1" s="24" t="s">
        <v>134</v>
      </c>
      <c r="O1" s="7"/>
      <c r="P1" s="7"/>
      <c r="Q1" s="7"/>
      <c r="R1" s="7"/>
    </row>
    <row r="2" spans="1:26" ht="18" customHeight="1" x14ac:dyDescent="0.25">
      <c r="A2" s="29" t="s">
        <v>135</v>
      </c>
      <c r="B2" s="78" t="s">
        <v>167</v>
      </c>
      <c r="C2" s="79"/>
      <c r="D2" s="80"/>
      <c r="E2" s="26" t="s">
        <v>57</v>
      </c>
      <c r="F2" s="28">
        <f>VLOOKUP(E2,Standards!B3:C7,2,FALSE)</f>
        <v>3.25</v>
      </c>
      <c r="G2" s="25">
        <v>1</v>
      </c>
      <c r="H2" s="42">
        <v>2</v>
      </c>
      <c r="I2" s="41">
        <v>200</v>
      </c>
      <c r="J2" s="32" t="s">
        <v>79</v>
      </c>
      <c r="K2" s="32">
        <v>2</v>
      </c>
      <c r="L2" s="38">
        <f>F2-(G2*Standards!D14)-(H2*Standards!D13)-(I2*Standards!D15)-VLOOKUP(J2,LS_Loss,2,FALSE)-(VLOOKUP(H5,Losses,3,FALSE)*I5)</f>
        <v>-9.9407263993367554</v>
      </c>
      <c r="M2" s="37" t="s">
        <v>136</v>
      </c>
      <c r="O2" s="7"/>
      <c r="P2" s="7"/>
      <c r="Q2" s="7"/>
      <c r="R2" s="7"/>
    </row>
    <row r="3" spans="1:26" s="4" customFormat="1" ht="15" customHeight="1" x14ac:dyDescent="0.25">
      <c r="A3" s="88" t="s">
        <v>137</v>
      </c>
      <c r="B3" s="81"/>
      <c r="C3" s="82"/>
      <c r="D3" s="82"/>
      <c r="E3" s="82"/>
      <c r="F3" s="82"/>
      <c r="G3" s="83"/>
      <c r="H3" s="88" t="s">
        <v>138</v>
      </c>
      <c r="I3" s="88" t="s">
        <v>139</v>
      </c>
      <c r="J3" s="44"/>
      <c r="K3" s="87" t="s">
        <v>140</v>
      </c>
      <c r="L3" s="87" t="s">
        <v>141</v>
      </c>
      <c r="M3" s="14" t="s">
        <v>142</v>
      </c>
      <c r="T3" s="60"/>
      <c r="U3" s="60"/>
      <c r="V3" s="60"/>
      <c r="W3" s="60"/>
      <c r="X3" s="60"/>
      <c r="Y3" s="60"/>
      <c r="Z3" s="60"/>
    </row>
    <row r="4" spans="1:26" s="4" customFormat="1" ht="15" customHeight="1" x14ac:dyDescent="0.25">
      <c r="A4" s="88"/>
      <c r="B4" s="84"/>
      <c r="C4" s="85"/>
      <c r="D4" s="85"/>
      <c r="E4" s="85"/>
      <c r="F4" s="85"/>
      <c r="G4" s="86"/>
      <c r="H4" s="88"/>
      <c r="I4" s="89"/>
      <c r="J4" s="45" t="s">
        <v>143</v>
      </c>
      <c r="K4" s="87"/>
      <c r="L4" s="87"/>
      <c r="M4" s="12" t="s">
        <v>144</v>
      </c>
      <c r="T4" s="60"/>
      <c r="U4" s="60"/>
      <c r="V4" s="60"/>
      <c r="W4" s="60"/>
      <c r="X4" s="60"/>
      <c r="Y4" s="60"/>
      <c r="Z4" s="60"/>
    </row>
    <row r="5" spans="1:26" x14ac:dyDescent="0.25">
      <c r="A5" s="5"/>
      <c r="B5" s="46" t="s">
        <v>145</v>
      </c>
      <c r="C5" s="47" t="s">
        <v>146</v>
      </c>
      <c r="D5"/>
      <c r="H5" s="48" t="s">
        <v>71</v>
      </c>
      <c r="I5" s="43">
        <v>0</v>
      </c>
      <c r="J5" s="43" t="s">
        <v>108</v>
      </c>
      <c r="K5" s="43">
        <v>1500</v>
      </c>
      <c r="L5" s="43">
        <v>2</v>
      </c>
      <c r="M5" s="24" t="s">
        <v>147</v>
      </c>
      <c r="N5" s="4"/>
      <c r="O5" s="4"/>
      <c r="P5" s="4"/>
      <c r="Q5" s="7"/>
      <c r="R5" s="7"/>
    </row>
    <row r="6" spans="1:26" x14ac:dyDescent="0.25">
      <c r="A6" s="29" t="s">
        <v>148</v>
      </c>
      <c r="B6" s="30">
        <f>SUM(B8:B76)</f>
        <v>11101</v>
      </c>
      <c r="C6" s="31">
        <f>SUM(F8:F76)</f>
        <v>88</v>
      </c>
      <c r="D6"/>
      <c r="E6" s="7"/>
      <c r="I6" s="7"/>
      <c r="J6"/>
      <c r="M6" s="27">
        <v>1</v>
      </c>
      <c r="N6" s="4"/>
      <c r="O6" s="4"/>
      <c r="P6" s="4"/>
      <c r="Q6" s="8" t="s">
        <v>149</v>
      </c>
      <c r="R6" s="8" t="s">
        <v>150</v>
      </c>
    </row>
    <row r="7" spans="1:26" s="7" customFormat="1" ht="40.5" customHeight="1" x14ac:dyDescent="0.25">
      <c r="A7" s="20" t="s">
        <v>151</v>
      </c>
      <c r="B7" s="21" t="s">
        <v>152</v>
      </c>
      <c r="C7" s="21" t="s">
        <v>153</v>
      </c>
      <c r="D7" s="19" t="s">
        <v>154</v>
      </c>
      <c r="E7" s="19" t="s">
        <v>155</v>
      </c>
      <c r="F7" s="19" t="s">
        <v>156</v>
      </c>
      <c r="G7" s="19" t="s">
        <v>157</v>
      </c>
      <c r="H7" s="19" t="s">
        <v>158</v>
      </c>
      <c r="I7" s="19" t="s">
        <v>159</v>
      </c>
      <c r="J7" s="19" t="s">
        <v>87</v>
      </c>
      <c r="K7" s="20" t="s">
        <v>160</v>
      </c>
      <c r="L7" s="19" t="s">
        <v>161</v>
      </c>
      <c r="M7" s="20" t="s">
        <v>162</v>
      </c>
      <c r="N7" s="8" t="s">
        <v>163</v>
      </c>
      <c r="O7" s="8" t="s">
        <v>164</v>
      </c>
      <c r="P7" s="8" t="s">
        <v>165</v>
      </c>
      <c r="Q7" s="7">
        <v>0</v>
      </c>
      <c r="R7" s="7">
        <v>0</v>
      </c>
      <c r="S7" s="36"/>
      <c r="T7" s="61"/>
      <c r="U7" s="61"/>
      <c r="V7" s="61"/>
      <c r="W7" s="61"/>
      <c r="X7" s="61"/>
      <c r="Y7" s="61"/>
      <c r="Z7" s="61"/>
    </row>
    <row r="8" spans="1:26" x14ac:dyDescent="0.25">
      <c r="A8" s="35">
        <v>1</v>
      </c>
      <c r="B8" s="34">
        <v>120</v>
      </c>
      <c r="C8" s="50" t="s">
        <v>168</v>
      </c>
      <c r="D8" s="51" t="s">
        <v>169</v>
      </c>
      <c r="E8" s="18" t="s">
        <v>91</v>
      </c>
      <c r="F8" s="13">
        <v>0</v>
      </c>
      <c r="G8" s="56"/>
      <c r="H8" s="6">
        <f>IF(F8="","",N8-VLOOKUP(F8,Parts!A:F,6,FALSE))</f>
        <v>-9.9881622389388092</v>
      </c>
      <c r="I8" s="6" t="str">
        <f>IF(F8="","",IF(F8=0,"",H8-(Standards!D$14*L$5)-(Standards!D$15*K$5)))</f>
        <v/>
      </c>
      <c r="J8" s="12" t="str">
        <f>IF(F8="","",VLOOKUP(F8,Parts!A:J,10,FALSE))</f>
        <v>N/A</v>
      </c>
      <c r="K8" s="12" t="str">
        <f>IF(F8="","",VLOOKUP(F8,Parts!A:N,14,FALSE))</f>
        <v>N/A</v>
      </c>
      <c r="L8" s="33"/>
      <c r="M8" s="33"/>
      <c r="N8" s="8">
        <f t="shared" ref="N8:N39" si="0">IF(F8="","",L$2-Q8-R8)</f>
        <v>-9.9881622389388092</v>
      </c>
      <c r="O8" s="8">
        <f t="shared" ref="O8:O39" si="1">VLOOKUP(H$5,Losses,3,FALSE)</f>
        <v>3.5000000000000003E-2</v>
      </c>
      <c r="P8" s="8">
        <f>IF(F8="","",N8-O8)</f>
        <v>-10.023162238938809</v>
      </c>
      <c r="Q8" s="8">
        <f>(B8*Standards!D$15)+Q7</f>
        <v>1.243583960205312E-2</v>
      </c>
      <c r="R8" s="8">
        <f t="shared" ref="R8:R39" si="2">IF(F8&lt;&gt;"",VLOOKUP(H$5,Losses,3,FALSE)+R7,R7)</f>
        <v>3.5000000000000003E-2</v>
      </c>
    </row>
    <row r="9" spans="1:26" x14ac:dyDescent="0.25">
      <c r="A9" s="35">
        <v>2</v>
      </c>
      <c r="B9" s="34">
        <f>90+100</f>
        <v>190</v>
      </c>
      <c r="C9" s="50" t="s">
        <v>168</v>
      </c>
      <c r="D9" s="90" t="s">
        <v>170</v>
      </c>
      <c r="E9" s="16" t="s">
        <v>91</v>
      </c>
      <c r="F9" s="13">
        <v>4</v>
      </c>
      <c r="G9" s="56"/>
      <c r="H9" s="6">
        <f>IF(F9="","",N9-VLOOKUP(F9,Parts!A:F,6,FALSE))</f>
        <v>-17.282852318308727</v>
      </c>
      <c r="I9" s="6">
        <f>IF(F9="","",IF(F9=0,"",H9-(Standards!D$14*L$5)-(Standards!D$15*K$5)))</f>
        <v>-17.638300313334391</v>
      </c>
      <c r="J9" s="12" t="str">
        <f>IF(F9="","",VLOOKUP(F9,Parts!A:J,10,FALSE))</f>
        <v>USBM1X4</v>
      </c>
      <c r="K9" s="12" t="str">
        <f>IF(F9="","",VLOOKUP(F9,Parts!A:N,14,FALSE))</f>
        <v>PLO-U-104-SCA-SCA</v>
      </c>
      <c r="L9" s="33" t="s">
        <v>172</v>
      </c>
      <c r="M9" s="33" t="s">
        <v>171</v>
      </c>
      <c r="N9" s="8">
        <f t="shared" si="0"/>
        <v>-10.042852318308727</v>
      </c>
      <c r="O9" s="8">
        <f t="shared" si="1"/>
        <v>3.5000000000000003E-2</v>
      </c>
      <c r="P9" s="8">
        <f t="shared" ref="P9:P39" si="3">IF(F9="","",N9-O9)</f>
        <v>-10.077852318308727</v>
      </c>
      <c r="Q9" s="8">
        <f>(B9*Standards!D$15)+Q8</f>
        <v>3.2125918971970563E-2</v>
      </c>
      <c r="R9" s="8">
        <f t="shared" si="2"/>
        <v>7.0000000000000007E-2</v>
      </c>
    </row>
    <row r="10" spans="1:26" x14ac:dyDescent="0.25">
      <c r="A10" s="35">
        <v>3</v>
      </c>
      <c r="B10" s="91">
        <f>416+100</f>
        <v>516</v>
      </c>
      <c r="C10" s="50" t="s">
        <v>168</v>
      </c>
      <c r="D10" s="51" t="s">
        <v>173</v>
      </c>
      <c r="E10" s="17" t="s">
        <v>91</v>
      </c>
      <c r="F10" s="13">
        <v>0</v>
      </c>
      <c r="G10" s="56"/>
      <c r="H10" s="6">
        <f>IF(F10="","",N10-VLOOKUP(F10,Parts!A:F,6,FALSE))</f>
        <v>-10.131326428597555</v>
      </c>
      <c r="I10" s="6" t="str">
        <f>IF(F10="","",IF(F10=0,"",H10-(Standards!D$14*L$5)-(Standards!D$15*K$5)))</f>
        <v/>
      </c>
      <c r="J10" s="12" t="str">
        <f>IF(F10="","",VLOOKUP(F10,Parts!A:J,10,FALSE))</f>
        <v>N/A</v>
      </c>
      <c r="K10" s="12" t="str">
        <f>IF(F10="","",VLOOKUP(F10,Parts!A:N,14,FALSE))</f>
        <v>N/A</v>
      </c>
      <c r="L10" s="33"/>
      <c r="M10" s="33"/>
      <c r="N10" s="8">
        <f t="shared" si="0"/>
        <v>-10.131326428597555</v>
      </c>
      <c r="O10" s="8">
        <f t="shared" si="1"/>
        <v>3.5000000000000003E-2</v>
      </c>
      <c r="P10" s="8">
        <f t="shared" si="3"/>
        <v>-10.166326428597555</v>
      </c>
      <c r="Q10" s="8">
        <f>(B10*Standards!D$15)+Q9</f>
        <v>8.5600029260798974E-2</v>
      </c>
      <c r="R10" s="8">
        <f t="shared" si="2"/>
        <v>0.10500000000000001</v>
      </c>
    </row>
    <row r="11" spans="1:26" x14ac:dyDescent="0.25">
      <c r="A11" s="35">
        <v>4</v>
      </c>
      <c r="B11" s="34">
        <f>114+100</f>
        <v>214</v>
      </c>
      <c r="C11" s="50" t="s">
        <v>174</v>
      </c>
      <c r="D11" s="90" t="s">
        <v>175</v>
      </c>
      <c r="E11" s="16" t="s">
        <v>91</v>
      </c>
      <c r="F11" s="13">
        <v>8</v>
      </c>
      <c r="G11" s="56"/>
      <c r="H11" s="6">
        <f>IF(F11="","",N11-VLOOKUP(F11,Parts!A:F,6,FALSE))</f>
        <v>-20.828503675887884</v>
      </c>
      <c r="I11" s="6">
        <f>IF(F11="","",IF(F11=0,"",H11-(Standards!D$14*L$5)-(Standards!D$15*K$5)))</f>
        <v>-21.183951670913547</v>
      </c>
      <c r="J11" s="12" t="str">
        <f>IF(F11="","",VLOOKUP(F11,Parts!A:J,10,FALSE))</f>
        <v>USBM1X8</v>
      </c>
      <c r="K11" s="12" t="str">
        <f>IF(F11="","",VLOOKUP(F11,Parts!A:N,14,FALSE))</f>
        <v>PLO-U-108-SCA-SCA</v>
      </c>
      <c r="L11" s="33" t="s">
        <v>253</v>
      </c>
      <c r="M11" s="33" t="s">
        <v>242</v>
      </c>
      <c r="N11" s="8">
        <f t="shared" si="0"/>
        <v>-10.188503675887883</v>
      </c>
      <c r="O11" s="8">
        <f t="shared" si="1"/>
        <v>3.5000000000000003E-2</v>
      </c>
      <c r="P11" s="8">
        <f t="shared" si="3"/>
        <v>-10.223503675887883</v>
      </c>
      <c r="Q11" s="8">
        <f>(B11*Standards!D$15)+Q10</f>
        <v>0.10777727655112704</v>
      </c>
      <c r="R11" s="8">
        <f t="shared" si="2"/>
        <v>0.14000000000000001</v>
      </c>
    </row>
    <row r="12" spans="1:26" x14ac:dyDescent="0.25">
      <c r="A12" s="35">
        <v>5</v>
      </c>
      <c r="B12" s="34">
        <f>751+100</f>
        <v>851</v>
      </c>
      <c r="C12" s="50" t="s">
        <v>174</v>
      </c>
      <c r="D12" s="90" t="s">
        <v>176</v>
      </c>
      <c r="E12" s="16" t="s">
        <v>91</v>
      </c>
      <c r="F12" s="13">
        <v>8</v>
      </c>
      <c r="G12" s="56"/>
      <c r="H12" s="6">
        <f>IF(F12="","",N12-VLOOKUP(F12,Parts!A:F,6,FALSE))</f>
        <v>-20.951694505065777</v>
      </c>
      <c r="I12" s="6">
        <f>IF(F12="","",IF(F12=0,"",H12-(Standards!D$14*L$5)-(Standards!D$15*K$5)))</f>
        <v>-21.307142500091441</v>
      </c>
      <c r="J12" s="12" t="str">
        <f>IF(F12="","",VLOOKUP(F12,Parts!A:J,10,FALSE))</f>
        <v>USBM1X8</v>
      </c>
      <c r="K12" s="12" t="str">
        <f>IF(F12="","",VLOOKUP(F12,Parts!A:N,14,FALSE))</f>
        <v>PLO-U-108-SCA-SCA</v>
      </c>
      <c r="L12" s="33" t="s">
        <v>254</v>
      </c>
      <c r="M12" s="33" t="s">
        <v>243</v>
      </c>
      <c r="N12" s="8">
        <f t="shared" si="0"/>
        <v>-10.311694505065777</v>
      </c>
      <c r="O12" s="8">
        <f t="shared" si="1"/>
        <v>3.5000000000000003E-2</v>
      </c>
      <c r="P12" s="8">
        <f t="shared" si="3"/>
        <v>-10.346694505065777</v>
      </c>
      <c r="Q12" s="8">
        <f>(B12*Standards!D$15)+Q11</f>
        <v>0.1959681057290204</v>
      </c>
      <c r="R12" s="8">
        <f t="shared" si="2"/>
        <v>0.17500000000000002</v>
      </c>
    </row>
    <row r="13" spans="1:26" x14ac:dyDescent="0.25">
      <c r="A13" s="35">
        <v>6</v>
      </c>
      <c r="B13" s="34">
        <f>565+100</f>
        <v>665</v>
      </c>
      <c r="C13" s="50" t="s">
        <v>174</v>
      </c>
      <c r="D13" s="90" t="s">
        <v>177</v>
      </c>
      <c r="E13" s="16" t="s">
        <v>91</v>
      </c>
      <c r="F13" s="13">
        <v>4</v>
      </c>
      <c r="G13" s="56"/>
      <c r="H13" s="6">
        <f>IF(F13="","",N13-VLOOKUP(F13,Parts!A:F,6,FALSE))</f>
        <v>-17.655609782860488</v>
      </c>
      <c r="I13" s="6">
        <f>IF(F13="","",IF(F13=0,"",H13-(Standards!D$14*L$5)-(Standards!D$15*K$5)))</f>
        <v>-18.011057777886151</v>
      </c>
      <c r="J13" s="12" t="str">
        <f>IF(F13="","",VLOOKUP(F13,Parts!A:J,10,FALSE))</f>
        <v>USBM1X4</v>
      </c>
      <c r="K13" s="12" t="str">
        <f>IF(F13="","",VLOOKUP(F13,Parts!A:N,14,FALSE))</f>
        <v>PLO-U-104-SCA-SCA</v>
      </c>
      <c r="L13" s="33" t="s">
        <v>255</v>
      </c>
      <c r="M13" s="33" t="s">
        <v>244</v>
      </c>
      <c r="N13" s="8">
        <f t="shared" si="0"/>
        <v>-10.415609782860487</v>
      </c>
      <c r="O13" s="8">
        <f t="shared" si="1"/>
        <v>3.5000000000000003E-2</v>
      </c>
      <c r="P13" s="8">
        <f t="shared" si="3"/>
        <v>-10.450609782860488</v>
      </c>
      <c r="Q13" s="8">
        <f>(B13*Standards!D$15)+Q12</f>
        <v>0.26488338352373142</v>
      </c>
      <c r="R13" s="8">
        <f t="shared" si="2"/>
        <v>0.21000000000000002</v>
      </c>
    </row>
    <row r="14" spans="1:26" x14ac:dyDescent="0.25">
      <c r="A14" s="35">
        <v>7</v>
      </c>
      <c r="B14" s="34">
        <f>474+100</f>
        <v>574</v>
      </c>
      <c r="C14" s="50" t="s">
        <v>178</v>
      </c>
      <c r="D14" s="90" t="s">
        <v>179</v>
      </c>
      <c r="E14" s="16" t="s">
        <v>91</v>
      </c>
      <c r="F14" s="13">
        <v>4</v>
      </c>
      <c r="G14" s="56"/>
      <c r="H14" s="6">
        <f>IF(F14="","",N14-VLOOKUP(F14,Parts!A:F,6,FALSE))</f>
        <v>-17.750094548956973</v>
      </c>
      <c r="I14" s="6">
        <f>IF(F14="","",IF(F14=0,"",H14-(Standards!D$14*L$5)-(Standards!D$15*K$5)))</f>
        <v>-18.105542543982637</v>
      </c>
      <c r="J14" s="12" t="str">
        <f>IF(F14="","",VLOOKUP(F14,Parts!A:J,10,FALSE))</f>
        <v>USBM1X4</v>
      </c>
      <c r="K14" s="12" t="str">
        <f>IF(F14="","",VLOOKUP(F14,Parts!A:N,14,FALSE))</f>
        <v>PLO-U-104-SCA-SCA</v>
      </c>
      <c r="L14" s="33" t="s">
        <v>256</v>
      </c>
      <c r="M14" s="33" t="s">
        <v>245</v>
      </c>
      <c r="N14" s="8">
        <f t="shared" si="0"/>
        <v>-10.510094548956973</v>
      </c>
      <c r="O14" s="8">
        <f t="shared" si="1"/>
        <v>3.5000000000000003E-2</v>
      </c>
      <c r="P14" s="8">
        <f t="shared" si="3"/>
        <v>-10.545094548956973</v>
      </c>
      <c r="Q14" s="8">
        <f>(B14*Standards!D$15)+Q13</f>
        <v>0.32436814962021887</v>
      </c>
      <c r="R14" s="8">
        <f t="shared" si="2"/>
        <v>0.24500000000000002</v>
      </c>
    </row>
    <row r="15" spans="1:26" x14ac:dyDescent="0.25">
      <c r="A15" s="35">
        <v>8</v>
      </c>
      <c r="B15" s="34">
        <f>699+100</f>
        <v>799</v>
      </c>
      <c r="C15" s="50" t="s">
        <v>174</v>
      </c>
      <c r="D15" s="90" t="s">
        <v>180</v>
      </c>
      <c r="E15" s="16" t="s">
        <v>91</v>
      </c>
      <c r="F15" s="13">
        <v>4</v>
      </c>
      <c r="G15" s="40"/>
      <c r="H15" s="6">
        <f>IF(F15="","",N15-VLOOKUP(F15,Parts!A:F,6,FALSE))</f>
        <v>-17.867896514307311</v>
      </c>
      <c r="I15" s="6">
        <f>IF(F15="","",IF(F15=0,"",H15-(Standards!D$14*L$5)-(Standards!D$15*K$5)))</f>
        <v>-18.223344509332975</v>
      </c>
      <c r="J15" s="12" t="str">
        <f>IF(F15="","",VLOOKUP(F15,Parts!A:J,10,FALSE))</f>
        <v>USBM1X4</v>
      </c>
      <c r="K15" s="12" t="str">
        <f>IF(F15="","",VLOOKUP(F15,Parts!A:N,14,FALSE))</f>
        <v>PLO-U-104-SCA-SCA</v>
      </c>
      <c r="L15" s="33" t="s">
        <v>257</v>
      </c>
      <c r="M15" s="33" t="s">
        <v>246</v>
      </c>
      <c r="N15" s="8">
        <f t="shared" si="0"/>
        <v>-10.627896514307311</v>
      </c>
      <c r="O15" s="8">
        <f t="shared" si="1"/>
        <v>3.5000000000000003E-2</v>
      </c>
      <c r="P15" s="8">
        <f t="shared" si="3"/>
        <v>-10.662896514307311</v>
      </c>
      <c r="Q15" s="8">
        <f>(B15*Standards!D$15)+Q14</f>
        <v>0.40717011497055589</v>
      </c>
      <c r="R15" s="8">
        <f t="shared" si="2"/>
        <v>0.28000000000000003</v>
      </c>
    </row>
    <row r="16" spans="1:26" x14ac:dyDescent="0.25">
      <c r="A16" s="35">
        <v>9</v>
      </c>
      <c r="B16" s="34">
        <f>657+100</f>
        <v>757</v>
      </c>
      <c r="C16" s="50" t="s">
        <v>174</v>
      </c>
      <c r="D16" s="92" t="s">
        <v>181</v>
      </c>
      <c r="E16" s="17" t="s">
        <v>91</v>
      </c>
      <c r="F16" s="13">
        <v>4</v>
      </c>
      <c r="G16" s="40"/>
      <c r="H16" s="6">
        <f>IF(F16="","",N16-VLOOKUP(F16,Parts!A:F,6,FALSE))</f>
        <v>-17.981345935796931</v>
      </c>
      <c r="I16" s="6">
        <f>IF(F16="","",IF(F16=0,"",H16-(Standards!D$14*L$5)-(Standards!D$15*K$5)))</f>
        <v>-18.336793930822594</v>
      </c>
      <c r="J16" s="12" t="str">
        <f>IF(F16="","",VLOOKUP(F16,Parts!A:J,10,FALSE))</f>
        <v>USBM1X4</v>
      </c>
      <c r="K16" s="12" t="str">
        <f>IF(F16="","",VLOOKUP(F16,Parts!A:N,14,FALSE))</f>
        <v>PLO-U-104-SCA-SCA</v>
      </c>
      <c r="L16" s="33" t="s">
        <v>258</v>
      </c>
      <c r="M16" s="33" t="s">
        <v>247</v>
      </c>
      <c r="N16" s="8">
        <f t="shared" si="0"/>
        <v>-10.741345935796929</v>
      </c>
      <c r="O16" s="8">
        <f t="shared" si="1"/>
        <v>3.5000000000000003E-2</v>
      </c>
      <c r="P16" s="8">
        <f t="shared" si="3"/>
        <v>-10.776345935796929</v>
      </c>
      <c r="Q16" s="8">
        <f>(B16*Standards!D$15)+Q15</f>
        <v>0.48561953646017431</v>
      </c>
      <c r="R16" s="8">
        <f t="shared" si="2"/>
        <v>0.31500000000000006</v>
      </c>
    </row>
    <row r="17" spans="1:19" x14ac:dyDescent="0.25">
      <c r="A17" s="35">
        <v>10</v>
      </c>
      <c r="B17" s="34">
        <f>412+100</f>
        <v>512</v>
      </c>
      <c r="C17" s="50" t="s">
        <v>174</v>
      </c>
      <c r="D17" s="92" t="s">
        <v>182</v>
      </c>
      <c r="E17" s="17" t="s">
        <v>91</v>
      </c>
      <c r="F17" s="13">
        <v>8</v>
      </c>
      <c r="G17" s="40"/>
      <c r="H17" s="6">
        <f>IF(F17="","",N17-VLOOKUP(F17,Parts!A:F,6,FALSE))</f>
        <v>-21.469405518099023</v>
      </c>
      <c r="I17" s="6">
        <f>IF(F17="","",IF(F17=0,"",H17-(Standards!D$14*L$5)-(Standards!D$15*K$5)))</f>
        <v>-21.824853513124687</v>
      </c>
      <c r="J17" s="12" t="str">
        <f>IF(F17="","",VLOOKUP(F17,Parts!A:J,10,FALSE))</f>
        <v>USBM1X8</v>
      </c>
      <c r="K17" s="12" t="str">
        <f>IF(F17="","",VLOOKUP(F17,Parts!A:N,14,FALSE))</f>
        <v>PLO-U-108-SCA-SCA</v>
      </c>
      <c r="L17" s="33" t="s">
        <v>259</v>
      </c>
      <c r="M17" s="33" t="s">
        <v>248</v>
      </c>
      <c r="N17" s="8">
        <f t="shared" si="0"/>
        <v>-10.829405518099023</v>
      </c>
      <c r="O17" s="8">
        <f t="shared" si="1"/>
        <v>3.5000000000000003E-2</v>
      </c>
      <c r="P17" s="8">
        <f t="shared" si="3"/>
        <v>-10.864405518099023</v>
      </c>
      <c r="Q17" s="8">
        <f>(B17*Standards!D$15)+Q16</f>
        <v>0.53867911876226759</v>
      </c>
      <c r="R17" s="8">
        <f t="shared" si="2"/>
        <v>0.35000000000000009</v>
      </c>
    </row>
    <row r="18" spans="1:19" x14ac:dyDescent="0.25">
      <c r="A18" s="35">
        <v>11</v>
      </c>
      <c r="B18" s="34">
        <f>547+100</f>
        <v>647</v>
      </c>
      <c r="C18" s="50" t="s">
        <v>174</v>
      </c>
      <c r="D18" s="90" t="s">
        <v>184</v>
      </c>
      <c r="E18" s="18" t="s">
        <v>91</v>
      </c>
      <c r="F18" s="13">
        <v>8</v>
      </c>
      <c r="G18" s="40"/>
      <c r="H18" s="6">
        <f>IF(F18="","",N18-VLOOKUP(F18,Parts!A:F,6,FALSE))</f>
        <v>-21.571455419953427</v>
      </c>
      <c r="I18" s="6">
        <f>IF(F18="","",IF(F18=0,"",H18-(Standards!D$14*L$5)-(Standards!D$15*K$5)))</f>
        <v>-21.92690341497909</v>
      </c>
      <c r="J18" s="12" t="str">
        <f>IF(F18="","",VLOOKUP(F18,Parts!A:J,10,FALSE))</f>
        <v>USBM1X8</v>
      </c>
      <c r="K18" s="12" t="str">
        <f>IF(F18="","",VLOOKUP(F18,Parts!A:N,14,FALSE))</f>
        <v>PLO-U-108-SCA-SCA</v>
      </c>
      <c r="L18" s="33" t="s">
        <v>260</v>
      </c>
      <c r="M18" s="33" t="s">
        <v>249</v>
      </c>
      <c r="N18" s="8">
        <f t="shared" si="0"/>
        <v>-10.931455419953426</v>
      </c>
      <c r="O18" s="8">
        <f t="shared" si="1"/>
        <v>3.5000000000000003E-2</v>
      </c>
      <c r="P18" s="8">
        <f t="shared" si="3"/>
        <v>-10.966455419953427</v>
      </c>
      <c r="Q18" s="8">
        <f>(B18*Standards!D$15)+Q17</f>
        <v>0.60572902061667067</v>
      </c>
      <c r="R18" s="8">
        <f t="shared" si="2"/>
        <v>0.38500000000000012</v>
      </c>
    </row>
    <row r="19" spans="1:19" x14ac:dyDescent="0.25">
      <c r="A19" s="35">
        <v>12</v>
      </c>
      <c r="B19" s="34">
        <f>491+100</f>
        <v>591</v>
      </c>
      <c r="C19" s="50" t="s">
        <v>174</v>
      </c>
      <c r="D19" s="92" t="s">
        <v>183</v>
      </c>
      <c r="E19" s="17" t="s">
        <v>91</v>
      </c>
      <c r="F19" s="13">
        <v>4</v>
      </c>
      <c r="G19" s="40"/>
      <c r="H19" s="6">
        <f>IF(F19="","",N19-VLOOKUP(F19,Parts!A:F,6,FALSE))</f>
        <v>-18.267701929993535</v>
      </c>
      <c r="I19" s="6">
        <f>IF(F19="","",IF(F19=0,"",H19-(Standards!D$14*L$5)-(Standards!D$15*K$5)))</f>
        <v>-18.623149925019199</v>
      </c>
      <c r="J19" s="12" t="str">
        <f>IF(F19="","",VLOOKUP(F19,Parts!A:J,10,FALSE))</f>
        <v>USBM1X4</v>
      </c>
      <c r="K19" s="12" t="str">
        <f>IF(F19="","",VLOOKUP(F19,Parts!A:N,14,FALSE))</f>
        <v>PLO-U-104-SCA-SCA</v>
      </c>
      <c r="L19" s="33" t="s">
        <v>261</v>
      </c>
      <c r="M19" s="33" t="s">
        <v>250</v>
      </c>
      <c r="N19" s="8">
        <f t="shared" si="0"/>
        <v>-11.027701929993537</v>
      </c>
      <c r="O19" s="8">
        <f t="shared" si="1"/>
        <v>3.5000000000000003E-2</v>
      </c>
      <c r="P19" s="8">
        <f t="shared" si="3"/>
        <v>-11.062701929993537</v>
      </c>
      <c r="Q19" s="8">
        <f>(B19*Standards!D$15)+Q18</f>
        <v>0.66697553065678228</v>
      </c>
      <c r="R19" s="8">
        <f t="shared" si="2"/>
        <v>0.42000000000000015</v>
      </c>
    </row>
    <row r="20" spans="1:19" x14ac:dyDescent="0.25">
      <c r="A20" s="35">
        <v>13</v>
      </c>
      <c r="B20" s="34">
        <f>383+100</f>
        <v>483</v>
      </c>
      <c r="C20" s="50" t="s">
        <v>174</v>
      </c>
      <c r="D20" s="92" t="s">
        <v>185</v>
      </c>
      <c r="E20" s="16" t="s">
        <v>91</v>
      </c>
      <c r="F20" s="13">
        <v>8</v>
      </c>
      <c r="G20" s="40"/>
      <c r="H20" s="6">
        <f>IF(F20="","",N20-VLOOKUP(F20,Parts!A:F,6,FALSE))</f>
        <v>-21.752756184391803</v>
      </c>
      <c r="I20" s="6">
        <f>IF(F20="","",IF(F20=0,"",H20-(Standards!D$14*L$5)-(Standards!D$15*K$5)))</f>
        <v>-22.108204179417466</v>
      </c>
      <c r="J20" s="12" t="str">
        <f>IF(F20="","",VLOOKUP(F20,Parts!A:J,10,FALSE))</f>
        <v>USBM1X8</v>
      </c>
      <c r="K20" s="12" t="str">
        <f>IF(F20="","",VLOOKUP(F20,Parts!A:N,14,FALSE))</f>
        <v>PLO-U-108-SCA-SCA</v>
      </c>
      <c r="L20" s="33" t="s">
        <v>262</v>
      </c>
      <c r="M20" s="33" t="s">
        <v>251</v>
      </c>
      <c r="N20" s="8">
        <f t="shared" si="0"/>
        <v>-11.112756184391802</v>
      </c>
      <c r="O20" s="8">
        <f t="shared" si="1"/>
        <v>3.5000000000000003E-2</v>
      </c>
      <c r="P20" s="8">
        <f t="shared" si="3"/>
        <v>-11.147756184391802</v>
      </c>
      <c r="Q20" s="8">
        <f>(B20*Standards!D$15)+Q19</f>
        <v>0.71702978505504611</v>
      </c>
      <c r="R20" s="8">
        <f t="shared" si="2"/>
        <v>0.45500000000000018</v>
      </c>
    </row>
    <row r="21" spans="1:19" x14ac:dyDescent="0.25">
      <c r="A21" s="35">
        <v>14</v>
      </c>
      <c r="B21" s="34">
        <f>592+100</f>
        <v>692</v>
      </c>
      <c r="C21" s="50" t="s">
        <v>174</v>
      </c>
      <c r="D21" s="92" t="s">
        <v>186</v>
      </c>
      <c r="E21" s="16" t="s">
        <v>91</v>
      </c>
      <c r="F21" s="13">
        <v>4</v>
      </c>
      <c r="G21" s="40"/>
      <c r="H21" s="6">
        <f>IF(F21="","",N21-VLOOKUP(F21,Parts!A:F,6,FALSE))</f>
        <v>-18.459469526096974</v>
      </c>
      <c r="I21" s="6">
        <f>IF(F21="","",IF(F21=0,"",H21-(Standards!D$14*L$5)-(Standards!D$15*K$5)))</f>
        <v>-18.814917521122638</v>
      </c>
      <c r="J21" s="12" t="str">
        <f>IF(F21="","",VLOOKUP(F21,Parts!A:J,10,FALSE))</f>
        <v>USBM1X4</v>
      </c>
      <c r="K21" s="12" t="str">
        <f>IF(F21="","",VLOOKUP(F21,Parts!A:N,14,FALSE))</f>
        <v>PLO-U-104-SCA-SCA</v>
      </c>
      <c r="L21" s="33" t="s">
        <v>263</v>
      </c>
      <c r="M21" s="33" t="s">
        <v>252</v>
      </c>
      <c r="N21" s="8">
        <f t="shared" si="0"/>
        <v>-11.219469526096974</v>
      </c>
      <c r="O21" s="8">
        <f t="shared" si="1"/>
        <v>3.5000000000000003E-2</v>
      </c>
      <c r="P21" s="8">
        <f t="shared" si="3"/>
        <v>-11.254469526096974</v>
      </c>
      <c r="Q21" s="8">
        <f>(B21*Standards!D$15)+Q20</f>
        <v>0.78874312676021907</v>
      </c>
      <c r="R21" s="8">
        <f t="shared" si="2"/>
        <v>0.49000000000000021</v>
      </c>
    </row>
    <row r="22" spans="1:19" x14ac:dyDescent="0.25">
      <c r="A22" s="35">
        <v>15</v>
      </c>
      <c r="B22" s="34">
        <f>543+100</f>
        <v>643</v>
      </c>
      <c r="C22" s="50" t="s">
        <v>187</v>
      </c>
      <c r="D22" s="92" t="s">
        <v>188</v>
      </c>
      <c r="E22" s="16" t="s">
        <v>91</v>
      </c>
      <c r="F22" s="13">
        <v>0</v>
      </c>
      <c r="G22" s="55" t="s">
        <v>189</v>
      </c>
      <c r="H22" s="6">
        <f>IF(F22="","",N22-VLOOKUP(F22,Parts!A:F,6,FALSE))</f>
        <v>-11.321104899964643</v>
      </c>
      <c r="I22" s="6" t="str">
        <f>IF(F22="","",IF(F22=0,"",H22-(Standards!D$14*L$5)-(Standards!D$15*K$5)))</f>
        <v/>
      </c>
      <c r="J22" s="12" t="str">
        <f>IF(F22="","",VLOOKUP(F22,Parts!A:J,10,FALSE))</f>
        <v>N/A</v>
      </c>
      <c r="K22" s="12" t="str">
        <f>IF(F22="","",VLOOKUP(F22,Parts!A:N,14,FALSE))</f>
        <v>N/A</v>
      </c>
      <c r="L22" s="33"/>
      <c r="M22" s="33"/>
      <c r="N22" s="8">
        <f t="shared" si="0"/>
        <v>-11.321104899964643</v>
      </c>
      <c r="O22" s="8">
        <f t="shared" si="1"/>
        <v>3.5000000000000003E-2</v>
      </c>
      <c r="P22" s="8">
        <f t="shared" si="3"/>
        <v>-11.356104899964643</v>
      </c>
      <c r="Q22" s="8">
        <f>(B22*Standards!D$15)+Q21</f>
        <v>0.85537850062788701</v>
      </c>
      <c r="R22" s="8">
        <f t="shared" si="2"/>
        <v>0.52500000000000024</v>
      </c>
      <c r="S22" s="8" t="s">
        <v>189</v>
      </c>
    </row>
    <row r="23" spans="1:19" x14ac:dyDescent="0.25">
      <c r="A23" s="35">
        <v>16</v>
      </c>
      <c r="B23" s="34">
        <f>470+100</f>
        <v>570</v>
      </c>
      <c r="C23" s="50" t="s">
        <v>187</v>
      </c>
      <c r="D23" s="92" t="s">
        <v>179</v>
      </c>
      <c r="E23" s="16" t="s">
        <v>91</v>
      </c>
      <c r="F23" s="13">
        <v>4</v>
      </c>
      <c r="G23" s="56"/>
      <c r="H23" s="6">
        <f>IF(F23="","",N23-VLOOKUP(F23,Parts!A:F,6,FALSE))</f>
        <v>-18.655175138074398</v>
      </c>
      <c r="I23" s="6">
        <f>IF(F23="","",IF(F23=0,"",H23-(Standards!D$14*L$5)-(Standards!D$15*K$5)))</f>
        <v>-19.010623133100061</v>
      </c>
      <c r="J23" s="12" t="str">
        <f>IF(F23="","",VLOOKUP(F23,Parts!A:J,10,FALSE))</f>
        <v>USBM1X4</v>
      </c>
      <c r="K23" s="12" t="str">
        <f>IF(F23="","",VLOOKUP(F23,Parts!A:N,14,FALSE))</f>
        <v>PLO-U-104-SCA-SCA</v>
      </c>
      <c r="L23" s="33" t="s">
        <v>268</v>
      </c>
      <c r="M23" s="33" t="s">
        <v>269</v>
      </c>
      <c r="N23" s="8">
        <f t="shared" si="0"/>
        <v>-11.415175138074396</v>
      </c>
      <c r="O23" s="8">
        <f t="shared" si="1"/>
        <v>3.5000000000000003E-2</v>
      </c>
      <c r="P23" s="8">
        <f t="shared" si="3"/>
        <v>-11.450175138074396</v>
      </c>
      <c r="Q23" s="8">
        <f>(B23*Standards!D$15)+Q22</f>
        <v>0.91444873873763932</v>
      </c>
      <c r="R23" s="8">
        <f t="shared" si="2"/>
        <v>0.56000000000000028</v>
      </c>
    </row>
    <row r="24" spans="1:19" x14ac:dyDescent="0.25">
      <c r="A24" s="35">
        <v>17</v>
      </c>
      <c r="B24" s="34">
        <f>158+100</f>
        <v>258</v>
      </c>
      <c r="C24" s="50" t="s">
        <v>187</v>
      </c>
      <c r="D24" s="92" t="s">
        <v>194</v>
      </c>
      <c r="E24" s="16" t="s">
        <v>91</v>
      </c>
      <c r="F24" s="13">
        <v>0</v>
      </c>
      <c r="G24" s="55" t="s">
        <v>195</v>
      </c>
      <c r="H24" s="6">
        <f>IF(F24="","",N24-VLOOKUP(F24,Parts!A:F,6,FALSE))</f>
        <v>-11.47691219321881</v>
      </c>
      <c r="I24" s="6" t="str">
        <f>IF(F24="","",IF(F24=0,"",H24-(Standards!D$14*L$5)-(Standards!D$15*K$5)))</f>
        <v/>
      </c>
      <c r="J24" s="12" t="str">
        <f>IF(F24="","",VLOOKUP(F24,Parts!A:J,10,FALSE))</f>
        <v>N/A</v>
      </c>
      <c r="K24" s="12" t="str">
        <f>IF(F24="","",VLOOKUP(F24,Parts!A:N,14,FALSE))</f>
        <v>N/A</v>
      </c>
      <c r="L24" s="33"/>
      <c r="M24" s="33"/>
      <c r="N24" s="8">
        <f t="shared" si="0"/>
        <v>-11.47691219321881</v>
      </c>
      <c r="O24" s="8">
        <f t="shared" si="1"/>
        <v>3.5000000000000003E-2</v>
      </c>
      <c r="P24" s="8">
        <f t="shared" si="3"/>
        <v>-11.51191219321881</v>
      </c>
      <c r="Q24" s="8">
        <f>(B24*Standards!D$15)+Q23</f>
        <v>0.94118579388205348</v>
      </c>
      <c r="R24" s="8">
        <f t="shared" si="2"/>
        <v>0.59500000000000031</v>
      </c>
      <c r="S24" s="8" t="s">
        <v>195</v>
      </c>
    </row>
    <row r="25" spans="1:19" x14ac:dyDescent="0.25">
      <c r="A25" s="35">
        <v>18</v>
      </c>
      <c r="B25" s="34">
        <f>896+100</f>
        <v>996</v>
      </c>
      <c r="C25" s="50" t="s">
        <v>197</v>
      </c>
      <c r="D25" s="53" t="s">
        <v>198</v>
      </c>
      <c r="E25" s="16" t="s">
        <v>91</v>
      </c>
      <c r="F25" s="13">
        <v>4</v>
      </c>
      <c r="G25" s="40"/>
      <c r="H25" s="6">
        <f>IF(F25="","",N25-VLOOKUP(F25,Parts!A:F,6,FALSE))</f>
        <v>-18.85512966191585</v>
      </c>
      <c r="I25" s="6">
        <f>IF(F25="","",IF(F25=0,"",H25-(Standards!D$14*L$5)-(Standards!D$15*K$5)))</f>
        <v>-19.210577656941513</v>
      </c>
      <c r="J25" s="12" t="str">
        <f>IF(F25="","",VLOOKUP(F25,Parts!A:J,10,FALSE))</f>
        <v>USBM1X4</v>
      </c>
      <c r="K25" s="12" t="str">
        <f>IF(F25="","",VLOOKUP(F25,Parts!A:N,14,FALSE))</f>
        <v>PLO-U-104-SCA-SCA</v>
      </c>
      <c r="L25" s="33" t="s">
        <v>270</v>
      </c>
      <c r="M25" s="33" t="s">
        <v>271</v>
      </c>
      <c r="N25" s="8">
        <f t="shared" si="0"/>
        <v>-11.61512966191585</v>
      </c>
      <c r="O25" s="8">
        <f t="shared" si="1"/>
        <v>3.5000000000000003E-2</v>
      </c>
      <c r="P25" s="8">
        <f t="shared" si="3"/>
        <v>-11.65012966191585</v>
      </c>
      <c r="Q25" s="8">
        <f>(B25*Standards!D$15)+Q24</f>
        <v>1.0444032625790944</v>
      </c>
      <c r="R25" s="8">
        <f t="shared" si="2"/>
        <v>0.63000000000000034</v>
      </c>
    </row>
    <row r="26" spans="1:19" x14ac:dyDescent="0.25">
      <c r="A26" s="35">
        <v>19</v>
      </c>
      <c r="B26" s="34"/>
      <c r="C26" s="50"/>
      <c r="D26" s="53"/>
      <c r="E26" s="16"/>
      <c r="F26" s="13"/>
      <c r="G26" s="40"/>
      <c r="H26" s="6" t="str">
        <f>IF(F26="","",N26-VLOOKUP(F26,Parts!A:F,6,FALSE))</f>
        <v/>
      </c>
      <c r="I26" s="6" t="str">
        <f>IF(F26="","",IF(F26=0,"",H26-(Standards!D$14*L$5)-(Standards!D$15*K$5)))</f>
        <v/>
      </c>
      <c r="J26" s="12" t="str">
        <f>IF(F26="","",VLOOKUP(F26,Parts!A:J,10,FALSE))</f>
        <v/>
      </c>
      <c r="K26" s="12" t="str">
        <f>IF(F26="","",VLOOKUP(F26,Parts!A:N,14,FALSE))</f>
        <v/>
      </c>
      <c r="L26" s="33"/>
      <c r="M26" s="33"/>
      <c r="N26" s="8" t="str">
        <f t="shared" si="0"/>
        <v/>
      </c>
      <c r="O26" s="8">
        <f t="shared" si="1"/>
        <v>3.5000000000000003E-2</v>
      </c>
      <c r="P26" s="8" t="str">
        <f t="shared" si="3"/>
        <v/>
      </c>
      <c r="Q26" s="8">
        <f>(B26*Standards!D$15)+Q25</f>
        <v>1.0444032625790944</v>
      </c>
      <c r="R26" s="8">
        <f t="shared" si="2"/>
        <v>0.63000000000000034</v>
      </c>
    </row>
    <row r="27" spans="1:19" x14ac:dyDescent="0.25">
      <c r="A27" s="35">
        <v>20</v>
      </c>
      <c r="B27" s="34"/>
      <c r="C27" s="50"/>
      <c r="D27" s="53"/>
      <c r="E27" s="16"/>
      <c r="F27" s="13"/>
      <c r="G27" s="40"/>
      <c r="H27" s="6" t="str">
        <f>IF(F27="","",N27-VLOOKUP(F27,Parts!A:F,6,FALSE))</f>
        <v/>
      </c>
      <c r="I27" s="6" t="str">
        <f>IF(F27="","",IF(F27=0,"",H27-(Standards!D$14*L$5)-(Standards!D$15*K$5)))</f>
        <v/>
      </c>
      <c r="J27" s="12" t="str">
        <f>IF(F27="","",VLOOKUP(F27,Parts!A:J,10,FALSE))</f>
        <v/>
      </c>
      <c r="K27" s="12" t="str">
        <f>IF(F27="","",VLOOKUP(F27,Parts!A:N,14,FALSE))</f>
        <v/>
      </c>
      <c r="L27" s="33"/>
      <c r="M27" s="33"/>
      <c r="N27" s="8" t="str">
        <f t="shared" si="0"/>
        <v/>
      </c>
      <c r="O27" s="8">
        <f t="shared" si="1"/>
        <v>3.5000000000000003E-2</v>
      </c>
      <c r="P27" s="8" t="str">
        <f t="shared" si="3"/>
        <v/>
      </c>
      <c r="Q27" s="8">
        <f>(B27*Standards!D$15)+Q26</f>
        <v>1.0444032625790944</v>
      </c>
      <c r="R27" s="8">
        <f t="shared" si="2"/>
        <v>0.63000000000000034</v>
      </c>
    </row>
    <row r="28" spans="1:19" x14ac:dyDescent="0.25">
      <c r="A28" s="35">
        <v>21</v>
      </c>
      <c r="B28" s="34"/>
      <c r="C28" s="50"/>
      <c r="D28" s="53"/>
      <c r="E28" s="16"/>
      <c r="F28" s="13"/>
      <c r="G28" s="40"/>
      <c r="H28" s="6" t="str">
        <f>IF(F28="","",N28-VLOOKUP(F28,Parts!A:F,6,FALSE))</f>
        <v/>
      </c>
      <c r="I28" s="6" t="str">
        <f>IF(F28="","",IF(F28=0,"",H28-(Standards!D$14*L$5)-(Standards!D$15*K$5)))</f>
        <v/>
      </c>
      <c r="J28" s="12" t="str">
        <f>IF(F28="","",VLOOKUP(F28,Parts!A:J,10,FALSE))</f>
        <v/>
      </c>
      <c r="K28" s="12" t="str">
        <f>IF(F28="","",VLOOKUP(F28,Parts!A:N,14,FALSE))</f>
        <v/>
      </c>
      <c r="L28" s="33"/>
      <c r="M28" s="33"/>
      <c r="N28" s="8" t="str">
        <f t="shared" si="0"/>
        <v/>
      </c>
      <c r="O28" s="8">
        <f t="shared" si="1"/>
        <v>3.5000000000000003E-2</v>
      </c>
      <c r="P28" s="8" t="str">
        <f t="shared" si="3"/>
        <v/>
      </c>
      <c r="Q28" s="8">
        <f>(B28*Standards!D$15)+Q27</f>
        <v>1.0444032625790944</v>
      </c>
      <c r="R28" s="8">
        <f t="shared" si="2"/>
        <v>0.63000000000000034</v>
      </c>
    </row>
    <row r="29" spans="1:19" x14ac:dyDescent="0.25">
      <c r="A29" s="35">
        <v>22</v>
      </c>
      <c r="B29" s="34"/>
      <c r="C29" s="50"/>
      <c r="D29" s="53"/>
      <c r="E29" s="16"/>
      <c r="F29" s="13"/>
      <c r="G29" s="40"/>
      <c r="H29" s="6" t="str">
        <f>IF(F29="","",N29-VLOOKUP(F29,Parts!A:F,6,FALSE))</f>
        <v/>
      </c>
      <c r="I29" s="6" t="str">
        <f>IF(F29="","",IF(F29=0,"",H29-(Standards!D$14*L$5)-(Standards!D$15*K$5)))</f>
        <v/>
      </c>
      <c r="J29" s="12" t="str">
        <f>IF(F29="","",VLOOKUP(F29,Parts!A:J,10,FALSE))</f>
        <v/>
      </c>
      <c r="K29" s="12" t="str">
        <f>IF(F29="","",VLOOKUP(F29,Parts!A:N,14,FALSE))</f>
        <v/>
      </c>
      <c r="L29" s="33"/>
      <c r="M29" s="33"/>
      <c r="N29" s="8" t="str">
        <f t="shared" si="0"/>
        <v/>
      </c>
      <c r="O29" s="8">
        <f t="shared" si="1"/>
        <v>3.5000000000000003E-2</v>
      </c>
      <c r="P29" s="8" t="str">
        <f t="shared" si="3"/>
        <v/>
      </c>
      <c r="Q29" s="8">
        <f>(B29*Standards!D$15)+Q28</f>
        <v>1.0444032625790944</v>
      </c>
      <c r="R29" s="8">
        <f t="shared" si="2"/>
        <v>0.63000000000000034</v>
      </c>
    </row>
    <row r="30" spans="1:19" x14ac:dyDescent="0.25">
      <c r="A30" s="35">
        <v>23</v>
      </c>
      <c r="B30" s="34"/>
      <c r="C30" s="50"/>
      <c r="D30" s="53"/>
      <c r="E30" s="16"/>
      <c r="F30" s="13"/>
      <c r="G30" s="40"/>
      <c r="H30" s="6" t="str">
        <f>IF(F30="","",N30-VLOOKUP(F30,Parts!A:F,6,FALSE))</f>
        <v/>
      </c>
      <c r="I30" s="6" t="str">
        <f>IF(F30="","",IF(F30=0,"",H30-(Standards!D$14*L$5)-(Standards!D$15*K$5)))</f>
        <v/>
      </c>
      <c r="J30" s="12" t="str">
        <f>IF(F30="","",VLOOKUP(F30,Parts!A:J,10,FALSE))</f>
        <v/>
      </c>
      <c r="K30" s="12" t="str">
        <f>IF(F30="","",VLOOKUP(F30,Parts!A:N,14,FALSE))</f>
        <v/>
      </c>
      <c r="L30" s="33"/>
      <c r="M30" s="33"/>
      <c r="N30" s="8" t="str">
        <f t="shared" si="0"/>
        <v/>
      </c>
      <c r="O30" s="8">
        <f t="shared" si="1"/>
        <v>3.5000000000000003E-2</v>
      </c>
      <c r="P30" s="8" t="str">
        <f t="shared" si="3"/>
        <v/>
      </c>
      <c r="Q30" s="8">
        <f>(B30*Standards!D$15)+Q29</f>
        <v>1.0444032625790944</v>
      </c>
      <c r="R30" s="8">
        <f t="shared" si="2"/>
        <v>0.63000000000000034</v>
      </c>
    </row>
    <row r="31" spans="1:19" x14ac:dyDescent="0.25">
      <c r="A31" s="35">
        <v>24</v>
      </c>
      <c r="B31" s="34"/>
      <c r="C31" s="50"/>
      <c r="D31" s="53"/>
      <c r="E31" s="16"/>
      <c r="F31" s="13"/>
      <c r="G31" s="40"/>
      <c r="H31" s="6" t="str">
        <f>IF(F31="","",N31-VLOOKUP(F31,Parts!A:F,6,FALSE))</f>
        <v/>
      </c>
      <c r="I31" s="6" t="str">
        <f>IF(F31="","",IF(F31=0,"",H31-(Standards!D$14*L$5)-(Standards!D$15*K$5)))</f>
        <v/>
      </c>
      <c r="J31" s="12" t="str">
        <f>IF(F31="","",VLOOKUP(F31,Parts!A:J,10,FALSE))</f>
        <v/>
      </c>
      <c r="K31" s="12" t="str">
        <f>IF(F31="","",VLOOKUP(F31,Parts!A:N,14,FALSE))</f>
        <v/>
      </c>
      <c r="L31" s="33"/>
      <c r="M31" s="33"/>
      <c r="N31" s="8" t="str">
        <f t="shared" si="0"/>
        <v/>
      </c>
      <c r="O31" s="8">
        <f t="shared" si="1"/>
        <v>3.5000000000000003E-2</v>
      </c>
      <c r="P31" s="8" t="str">
        <f t="shared" si="3"/>
        <v/>
      </c>
      <c r="Q31" s="8">
        <f>(B31*Standards!D$15)+Q30</f>
        <v>1.0444032625790944</v>
      </c>
      <c r="R31" s="8">
        <f t="shared" si="2"/>
        <v>0.63000000000000034</v>
      </c>
    </row>
    <row r="32" spans="1:19" x14ac:dyDescent="0.25">
      <c r="A32" s="35">
        <v>25</v>
      </c>
      <c r="B32" s="34"/>
      <c r="C32" s="50"/>
      <c r="D32" s="53"/>
      <c r="E32" s="16"/>
      <c r="F32" s="13"/>
      <c r="G32" s="40"/>
      <c r="H32" s="6" t="str">
        <f>IF(F32="","",N32-VLOOKUP(F32,Parts!A:F,6,FALSE))</f>
        <v/>
      </c>
      <c r="I32" s="6" t="str">
        <f>IF(F32="","",IF(F32=0,"",H32-(Standards!D$14*L$5)-(Standards!D$15*K$5)))</f>
        <v/>
      </c>
      <c r="J32" s="12" t="str">
        <f>IF(F32="","",VLOOKUP(F32,Parts!A:J,10,FALSE))</f>
        <v/>
      </c>
      <c r="K32" s="12" t="str">
        <f>IF(F32="","",VLOOKUP(F32,Parts!A:N,14,FALSE))</f>
        <v/>
      </c>
      <c r="L32" s="33"/>
      <c r="M32" s="33"/>
      <c r="N32" s="8" t="str">
        <f t="shared" si="0"/>
        <v/>
      </c>
      <c r="O32" s="8">
        <f t="shared" si="1"/>
        <v>3.5000000000000003E-2</v>
      </c>
      <c r="P32" s="8" t="str">
        <f t="shared" si="3"/>
        <v/>
      </c>
      <c r="Q32" s="8">
        <f>(B32*Standards!D$15)+Q31</f>
        <v>1.0444032625790944</v>
      </c>
      <c r="R32" s="8">
        <f t="shared" si="2"/>
        <v>0.63000000000000034</v>
      </c>
    </row>
    <row r="33" spans="1:26" x14ac:dyDescent="0.25">
      <c r="A33" s="35">
        <v>26</v>
      </c>
      <c r="B33" s="34"/>
      <c r="C33" s="50"/>
      <c r="D33" s="53"/>
      <c r="E33" s="16"/>
      <c r="F33" s="13"/>
      <c r="G33" s="40"/>
      <c r="H33" s="6" t="str">
        <f>IF(F33="","",N33-VLOOKUP(F33,Parts!A:F,6,FALSE))</f>
        <v/>
      </c>
      <c r="I33" s="6" t="str">
        <f>IF(F33="","",IF(F33=0,"",H33-(Standards!D$14*L$5)-(Standards!D$15*K$5)))</f>
        <v/>
      </c>
      <c r="J33" s="12" t="str">
        <f>IF(F33="","",VLOOKUP(F33,Parts!A:J,10,FALSE))</f>
        <v/>
      </c>
      <c r="K33" s="12" t="str">
        <f>IF(F33="","",VLOOKUP(F33,Parts!A:N,14,FALSE))</f>
        <v/>
      </c>
      <c r="L33" s="33"/>
      <c r="M33" s="33"/>
      <c r="N33" s="8" t="str">
        <f t="shared" si="0"/>
        <v/>
      </c>
      <c r="O33" s="8">
        <f t="shared" si="1"/>
        <v>3.5000000000000003E-2</v>
      </c>
      <c r="P33" s="8" t="str">
        <f t="shared" si="3"/>
        <v/>
      </c>
      <c r="Q33" s="8">
        <f>(B33*Standards!D$15)+Q32</f>
        <v>1.0444032625790944</v>
      </c>
      <c r="R33" s="8">
        <f t="shared" si="2"/>
        <v>0.63000000000000034</v>
      </c>
    </row>
    <row r="34" spans="1:26" x14ac:dyDescent="0.25">
      <c r="A34" s="35">
        <v>27</v>
      </c>
      <c r="B34" s="34"/>
      <c r="C34" s="50"/>
      <c r="D34" s="53"/>
      <c r="E34" s="16"/>
      <c r="F34" s="13"/>
      <c r="G34" s="40"/>
      <c r="H34" s="6" t="str">
        <f>IF(F34="","",N34-VLOOKUP(F34,Parts!A:F,6,FALSE))</f>
        <v/>
      </c>
      <c r="I34" s="6" t="str">
        <f>IF(F34="","",IF(F34=0,"",H34-(Standards!D$14*L$5)-(Standards!D$15*K$5)))</f>
        <v/>
      </c>
      <c r="J34" s="12" t="str">
        <f>IF(F34="","",VLOOKUP(F34,Parts!A:J,10,FALSE))</f>
        <v/>
      </c>
      <c r="K34" s="12" t="str">
        <f>IF(F34="","",VLOOKUP(F34,Parts!A:N,14,FALSE))</f>
        <v/>
      </c>
      <c r="L34" s="33"/>
      <c r="M34" s="33"/>
      <c r="N34" s="8" t="str">
        <f t="shared" si="0"/>
        <v/>
      </c>
      <c r="O34" s="8">
        <f t="shared" si="1"/>
        <v>3.5000000000000003E-2</v>
      </c>
      <c r="P34" s="8" t="str">
        <f t="shared" si="3"/>
        <v/>
      </c>
      <c r="Q34" s="8">
        <f>(B34*Standards!D$15)+Q33</f>
        <v>1.0444032625790944</v>
      </c>
      <c r="R34" s="8">
        <f t="shared" si="2"/>
        <v>0.63000000000000034</v>
      </c>
    </row>
    <row r="35" spans="1:26" x14ac:dyDescent="0.25">
      <c r="A35" s="35">
        <v>28</v>
      </c>
      <c r="B35" s="34"/>
      <c r="C35" s="50"/>
      <c r="D35" s="53"/>
      <c r="E35" s="16"/>
      <c r="F35" s="13"/>
      <c r="G35" s="40"/>
      <c r="H35" s="6" t="str">
        <f>IF(F35="","",N35-VLOOKUP(F35,Parts!A:F,6,FALSE))</f>
        <v/>
      </c>
      <c r="I35" s="6" t="str">
        <f>IF(F35="","",IF(F35=0,"",H35-(Standards!D$14*L$5)-(Standards!D$15*K$5)))</f>
        <v/>
      </c>
      <c r="J35" s="12" t="str">
        <f>IF(F35="","",VLOOKUP(F35,Parts!A:J,10,FALSE))</f>
        <v/>
      </c>
      <c r="K35" s="12" t="str">
        <f>IF(F35="","",VLOOKUP(F35,Parts!A:N,14,FALSE))</f>
        <v/>
      </c>
      <c r="L35" s="33"/>
      <c r="M35" s="33"/>
      <c r="N35" s="8" t="str">
        <f t="shared" si="0"/>
        <v/>
      </c>
      <c r="O35" s="8">
        <f t="shared" si="1"/>
        <v>3.5000000000000003E-2</v>
      </c>
      <c r="P35" s="8" t="str">
        <f t="shared" si="3"/>
        <v/>
      </c>
      <c r="Q35" s="8">
        <f>(B35*Standards!D$15)+Q34</f>
        <v>1.0444032625790944</v>
      </c>
      <c r="R35" s="8">
        <f t="shared" si="2"/>
        <v>0.63000000000000034</v>
      </c>
    </row>
    <row r="36" spans="1:26" x14ac:dyDescent="0.25">
      <c r="A36" s="35">
        <v>29</v>
      </c>
      <c r="B36" s="34"/>
      <c r="C36" s="50"/>
      <c r="D36" s="53"/>
      <c r="E36" s="16"/>
      <c r="F36" s="13"/>
      <c r="G36" s="40"/>
      <c r="H36" s="6" t="str">
        <f>IF(F36="","",N36-VLOOKUP(F36,Parts!A:F,6,FALSE))</f>
        <v/>
      </c>
      <c r="I36" s="6" t="str">
        <f>IF(F36="","",IF(F36=0,"",H36-(Standards!D$14*L$5)-(Standards!D$15*K$5)))</f>
        <v/>
      </c>
      <c r="J36" s="12" t="str">
        <f>IF(F36="","",VLOOKUP(F36,Parts!A:J,10,FALSE))</f>
        <v/>
      </c>
      <c r="K36" s="12" t="str">
        <f>IF(F36="","",VLOOKUP(F36,Parts!A:N,14,FALSE))</f>
        <v/>
      </c>
      <c r="L36" s="33"/>
      <c r="M36" s="33"/>
      <c r="N36" s="8" t="str">
        <f t="shared" si="0"/>
        <v/>
      </c>
      <c r="O36" s="8">
        <f t="shared" si="1"/>
        <v>3.5000000000000003E-2</v>
      </c>
      <c r="P36" s="8" t="str">
        <f t="shared" si="3"/>
        <v/>
      </c>
      <c r="Q36" s="8">
        <f>(B36*Standards!D$15)+Q35</f>
        <v>1.0444032625790944</v>
      </c>
      <c r="R36" s="8">
        <f t="shared" si="2"/>
        <v>0.63000000000000034</v>
      </c>
    </row>
    <row r="37" spans="1:26" x14ac:dyDescent="0.25">
      <c r="A37" s="35">
        <v>30</v>
      </c>
      <c r="B37" s="34"/>
      <c r="C37" s="50"/>
      <c r="D37" s="53"/>
      <c r="E37" s="16"/>
      <c r="F37" s="13"/>
      <c r="G37" s="40"/>
      <c r="H37" s="6" t="str">
        <f>IF(F37="","",N37-VLOOKUP(F37,Parts!A:F,6,FALSE))</f>
        <v/>
      </c>
      <c r="I37" s="6" t="str">
        <f>IF(F37="","",IF(F37=0,"",H37-(Standards!D$14*L$5)-(Standards!D$15*K$5)))</f>
        <v/>
      </c>
      <c r="J37" s="12" t="str">
        <f>IF(F37="","",VLOOKUP(F37,Parts!A:J,10,FALSE))</f>
        <v/>
      </c>
      <c r="K37" s="12" t="str">
        <f>IF(F37="","",VLOOKUP(F37,Parts!A:N,14,FALSE))</f>
        <v/>
      </c>
      <c r="L37" s="33"/>
      <c r="M37" s="33"/>
      <c r="N37" s="8" t="str">
        <f t="shared" si="0"/>
        <v/>
      </c>
      <c r="O37" s="8">
        <f t="shared" si="1"/>
        <v>3.5000000000000003E-2</v>
      </c>
      <c r="P37" s="8" t="str">
        <f t="shared" si="3"/>
        <v/>
      </c>
      <c r="Q37" s="8">
        <f>(B37*Standards!D$15)+Q36</f>
        <v>1.0444032625790944</v>
      </c>
      <c r="R37" s="8">
        <f t="shared" si="2"/>
        <v>0.63000000000000034</v>
      </c>
    </row>
    <row r="38" spans="1:26" x14ac:dyDescent="0.25">
      <c r="A38" s="35">
        <v>31</v>
      </c>
      <c r="B38" s="34"/>
      <c r="C38" s="50"/>
      <c r="D38" s="53"/>
      <c r="E38" s="16"/>
      <c r="F38" s="13"/>
      <c r="G38" s="40"/>
      <c r="H38" s="6" t="str">
        <f>IF(F38="","",N38-VLOOKUP(F38,Parts!A:F,6,FALSE))</f>
        <v/>
      </c>
      <c r="I38" s="6" t="str">
        <f>IF(F38="","",IF(F38=0,"",H38-(Standards!D$14*L$5)-(Standards!D$15*K$5)))</f>
        <v/>
      </c>
      <c r="J38" s="12" t="str">
        <f>IF(F38="","",VLOOKUP(F38,Parts!A:J,10,FALSE))</f>
        <v/>
      </c>
      <c r="K38" s="12" t="str">
        <f>IF(F38="","",VLOOKUP(F38,Parts!A:N,14,FALSE))</f>
        <v/>
      </c>
      <c r="L38" s="33"/>
      <c r="M38" s="33"/>
      <c r="N38" s="8" t="str">
        <f t="shared" si="0"/>
        <v/>
      </c>
      <c r="O38" s="8">
        <f t="shared" si="1"/>
        <v>3.5000000000000003E-2</v>
      </c>
      <c r="P38" s="8" t="str">
        <f t="shared" si="3"/>
        <v/>
      </c>
      <c r="Q38" s="8">
        <f>(B38*Standards!D$15)+Q37</f>
        <v>1.0444032625790944</v>
      </c>
      <c r="R38" s="8">
        <f t="shared" si="2"/>
        <v>0.63000000000000034</v>
      </c>
    </row>
    <row r="39" spans="1:26" x14ac:dyDescent="0.25">
      <c r="A39" s="35">
        <v>32</v>
      </c>
      <c r="B39" s="34"/>
      <c r="C39" s="50"/>
      <c r="D39" s="53"/>
      <c r="E39" s="16"/>
      <c r="F39" s="13"/>
      <c r="G39" s="40"/>
      <c r="H39" s="6" t="str">
        <f>IF(F39="","",N39-VLOOKUP(F39,Parts!A:F,6,FALSE))</f>
        <v/>
      </c>
      <c r="I39" s="6" t="str">
        <f>IF(F39="","",IF(F39=0,"",H39-(Standards!D$14*L$5)-(Standards!D$15*K$5)))</f>
        <v/>
      </c>
      <c r="J39" s="12" t="str">
        <f>IF(F39="","",VLOOKUP(F39,Parts!A:J,10,FALSE))</f>
        <v/>
      </c>
      <c r="K39" s="12" t="str">
        <f>IF(F39="","",VLOOKUP(F39,Parts!A:N,14,FALSE))</f>
        <v/>
      </c>
      <c r="L39" s="33"/>
      <c r="M39" s="33"/>
      <c r="N39" s="8" t="str">
        <f t="shared" si="0"/>
        <v/>
      </c>
      <c r="O39" s="8">
        <f t="shared" si="1"/>
        <v>3.5000000000000003E-2</v>
      </c>
      <c r="P39" s="8" t="str">
        <f t="shared" si="3"/>
        <v/>
      </c>
      <c r="Q39" s="8">
        <f>(B39*Standards!D$15)+Q38</f>
        <v>1.0444032625790944</v>
      </c>
      <c r="R39" s="8">
        <f t="shared" si="2"/>
        <v>0.63000000000000034</v>
      </c>
    </row>
    <row r="41" spans="1:26" ht="18.75" x14ac:dyDescent="0.3">
      <c r="A41" s="94" t="s">
        <v>189</v>
      </c>
      <c r="C41" s="96" t="s">
        <v>191</v>
      </c>
      <c r="K41" s="93" t="s">
        <v>190</v>
      </c>
      <c r="L41" s="95">
        <f>P22</f>
        <v>-11.356104899964643</v>
      </c>
    </row>
    <row r="42" spans="1:26" s="7" customFormat="1" ht="40.5" customHeight="1" x14ac:dyDescent="0.25">
      <c r="A42" s="20" t="s">
        <v>151</v>
      </c>
      <c r="B42" s="21" t="s">
        <v>152</v>
      </c>
      <c r="C42" s="21" t="s">
        <v>153</v>
      </c>
      <c r="D42" s="19" t="s">
        <v>154</v>
      </c>
      <c r="E42" s="19" t="s">
        <v>155</v>
      </c>
      <c r="F42" s="19" t="s">
        <v>156</v>
      </c>
      <c r="G42" s="19" t="s">
        <v>157</v>
      </c>
      <c r="H42" s="19" t="s">
        <v>158</v>
      </c>
      <c r="I42" s="19" t="s">
        <v>159</v>
      </c>
      <c r="J42" s="19" t="s">
        <v>87</v>
      </c>
      <c r="K42" s="20" t="s">
        <v>160</v>
      </c>
      <c r="L42" s="19" t="s">
        <v>161</v>
      </c>
      <c r="M42" s="20" t="s">
        <v>162</v>
      </c>
      <c r="N42" s="8" t="s">
        <v>163</v>
      </c>
      <c r="O42" s="8" t="s">
        <v>164</v>
      </c>
      <c r="P42" s="8" t="s">
        <v>165</v>
      </c>
      <c r="Q42" s="8">
        <f>Q22</f>
        <v>0.85537850062788701</v>
      </c>
      <c r="R42" s="8">
        <f>R22</f>
        <v>0.52500000000000024</v>
      </c>
      <c r="S42" s="36"/>
      <c r="T42" s="61"/>
      <c r="U42" s="61"/>
      <c r="V42" s="61"/>
      <c r="W42" s="61"/>
      <c r="X42" s="61"/>
      <c r="Y42" s="61"/>
      <c r="Z42" s="61"/>
    </row>
    <row r="43" spans="1:26" x14ac:dyDescent="0.25">
      <c r="A43" s="35">
        <v>1</v>
      </c>
      <c r="B43" s="34">
        <f>451+100</f>
        <v>551</v>
      </c>
      <c r="C43" s="50" t="s">
        <v>192</v>
      </c>
      <c r="D43" s="90" t="s">
        <v>193</v>
      </c>
      <c r="E43" s="18" t="s">
        <v>91</v>
      </c>
      <c r="F43" s="13">
        <v>8</v>
      </c>
      <c r="G43" s="40"/>
      <c r="H43" s="6">
        <f>IF(F43="","",N43-VLOOKUP(F43,Parts!A:F,6,FALSE))</f>
        <v>-23.468584630765292</v>
      </c>
      <c r="I43" s="6">
        <f>IF(F43="","",IF(F43=0,"",H43-(Standards!D$14*L$5)-(Standards!D$15*K$5)))</f>
        <v>-23.824032625790956</v>
      </c>
      <c r="J43" s="12" t="str">
        <f>IF(F43="","",VLOOKUP(F43,Parts!A:J,10,FALSE))</f>
        <v>USBM1X8</v>
      </c>
      <c r="K43" s="12" t="str">
        <f>IF(F43="","",VLOOKUP(F43,Parts!A:N,14,FALSE))</f>
        <v>PLO-U-108-SCA-SCA</v>
      </c>
      <c r="L43" s="33" t="s">
        <v>264</v>
      </c>
      <c r="M43" s="33" t="s">
        <v>265</v>
      </c>
      <c r="N43" s="8">
        <f>IF(F43="","",L$41-Q43-R43)</f>
        <v>-12.828584630765292</v>
      </c>
      <c r="O43" s="8">
        <f t="shared" ref="O43:O60" si="4">VLOOKUP(H$5,Losses,3,FALSE)</f>
        <v>3.5000000000000003E-2</v>
      </c>
      <c r="P43" s="8">
        <f>IF(F43="","",N43-O43)</f>
        <v>-12.863584630765292</v>
      </c>
      <c r="Q43" s="8">
        <f>(B43*Standards!D$15)+Q42</f>
        <v>0.91247973080064759</v>
      </c>
      <c r="R43" s="8">
        <f t="shared" ref="R43:R60" si="5">IF(F43&lt;&gt;"",VLOOKUP(H$5,Losses,3,FALSE)+R42,R42)</f>
        <v>0.56000000000000028</v>
      </c>
    </row>
    <row r="44" spans="1:26" x14ac:dyDescent="0.25">
      <c r="A44" s="35">
        <v>2</v>
      </c>
      <c r="B44" s="34"/>
      <c r="C44" s="50"/>
      <c r="D44" s="51"/>
      <c r="E44" s="16"/>
      <c r="F44" s="13"/>
      <c r="G44" s="55"/>
      <c r="H44" s="6" t="str">
        <f>IF(F44="","",N44-VLOOKUP(F44,Parts!A:F,6,FALSE))</f>
        <v/>
      </c>
      <c r="I44" s="6" t="str">
        <f>IF(F44="","",IF(F44=0,"",H44-(Standards!D$14*L$5)-(Standards!D$15*K$5)))</f>
        <v/>
      </c>
      <c r="J44" s="12" t="str">
        <f>IF(F44="","",VLOOKUP(F44,Parts!A:J,10,FALSE))</f>
        <v/>
      </c>
      <c r="K44" s="12" t="str">
        <f>IF(F44="","",VLOOKUP(F44,Parts!A:N,14,FALSE))</f>
        <v/>
      </c>
      <c r="L44" s="33"/>
      <c r="M44" s="33"/>
      <c r="N44" s="8" t="str">
        <f>IF(F44="","",L$41-Q44-R44)</f>
        <v/>
      </c>
      <c r="O44" s="8">
        <f t="shared" si="4"/>
        <v>3.5000000000000003E-2</v>
      </c>
      <c r="P44" s="8" t="str">
        <f t="shared" ref="P44:P60" si="6">IF(F44="","",N44-O44)</f>
        <v/>
      </c>
      <c r="Q44" s="8">
        <f>(B44*Standards!D$15)+Q43</f>
        <v>0.91247973080064759</v>
      </c>
      <c r="R44" s="8">
        <f t="shared" si="5"/>
        <v>0.56000000000000028</v>
      </c>
    </row>
    <row r="45" spans="1:26" x14ac:dyDescent="0.25">
      <c r="A45" s="35">
        <v>3</v>
      </c>
      <c r="B45" s="34"/>
      <c r="C45" s="50"/>
      <c r="D45" s="51"/>
      <c r="E45" s="17"/>
      <c r="F45" s="13"/>
      <c r="G45" s="40"/>
      <c r="H45" s="6" t="str">
        <f>IF(F45="","",N45-VLOOKUP(F45,Parts!A:F,6,FALSE))</f>
        <v/>
      </c>
      <c r="I45" s="6" t="str">
        <f>IF(F45="","",IF(F45=0,"",H45-(Standards!D$14*L$5)-(Standards!D$15*K$5)))</f>
        <v/>
      </c>
      <c r="J45" s="12" t="str">
        <f>IF(F45="","",VLOOKUP(F45,Parts!A:J,10,FALSE))</f>
        <v/>
      </c>
      <c r="K45" s="12" t="str">
        <f>IF(F45="","",VLOOKUP(F45,Parts!A:N,14,FALSE))</f>
        <v/>
      </c>
      <c r="L45" s="33"/>
      <c r="M45" s="33"/>
      <c r="N45" s="8" t="str">
        <f>IF(F45="","",L$41-Q45-R45)</f>
        <v/>
      </c>
      <c r="O45" s="8">
        <f t="shared" si="4"/>
        <v>3.5000000000000003E-2</v>
      </c>
      <c r="P45" s="8" t="str">
        <f t="shared" si="6"/>
        <v/>
      </c>
      <c r="Q45" s="8">
        <f>(B45*Standards!D$15)+Q44</f>
        <v>0.91247973080064759</v>
      </c>
      <c r="R45" s="8">
        <f t="shared" si="5"/>
        <v>0.56000000000000028</v>
      </c>
    </row>
    <row r="46" spans="1:26" x14ac:dyDescent="0.25">
      <c r="A46" s="35">
        <v>4</v>
      </c>
      <c r="B46" s="34"/>
      <c r="C46" s="50"/>
      <c r="D46" s="51"/>
      <c r="E46" s="16"/>
      <c r="F46" s="13"/>
      <c r="G46" s="56"/>
      <c r="H46" s="6" t="str">
        <f>IF(F46="","",N46-VLOOKUP(F46,Parts!A:F,6,FALSE))</f>
        <v/>
      </c>
      <c r="I46" s="6" t="str">
        <f>IF(F46="","",IF(F46=0,"",H46-(Standards!D$14*L$5)-(Standards!D$15*K$5)))</f>
        <v/>
      </c>
      <c r="J46" s="12" t="str">
        <f>IF(F46="","",VLOOKUP(F46,Parts!A:J,10,FALSE))</f>
        <v/>
      </c>
      <c r="K46" s="12" t="str">
        <f>IF(F46="","",VLOOKUP(F46,Parts!A:N,14,FALSE))</f>
        <v/>
      </c>
      <c r="L46" s="33"/>
      <c r="M46" s="33"/>
      <c r="N46" s="8" t="str">
        <f>IF(F46="","",L$41-Q46-R46)</f>
        <v/>
      </c>
      <c r="O46" s="8">
        <f t="shared" si="4"/>
        <v>3.5000000000000003E-2</v>
      </c>
      <c r="P46" s="8" t="str">
        <f t="shared" si="6"/>
        <v/>
      </c>
      <c r="Q46" s="8">
        <f>(B46*Standards!D$15)+Q45</f>
        <v>0.91247973080064759</v>
      </c>
      <c r="R46" s="8">
        <f t="shared" si="5"/>
        <v>0.56000000000000028</v>
      </c>
    </row>
    <row r="47" spans="1:26" x14ac:dyDescent="0.25">
      <c r="A47" s="35">
        <v>5</v>
      </c>
      <c r="B47" s="34"/>
      <c r="C47" s="50"/>
      <c r="D47" s="51"/>
      <c r="E47" s="16"/>
      <c r="F47" s="13"/>
      <c r="G47" s="55"/>
      <c r="H47" s="6" t="str">
        <f>IF(F47="","",N47-VLOOKUP(F47,Parts!A:F,6,FALSE))</f>
        <v/>
      </c>
      <c r="I47" s="6" t="str">
        <f>IF(F47="","",IF(F47=0,"",H47-(Standards!D$14*L$5)-(Standards!D$15*K$5)))</f>
        <v/>
      </c>
      <c r="J47" s="12" t="str">
        <f>IF(F47="","",VLOOKUP(F47,Parts!A:J,10,FALSE))</f>
        <v/>
      </c>
      <c r="K47" s="12" t="str">
        <f>IF(F47="","",VLOOKUP(F47,Parts!A:N,14,FALSE))</f>
        <v/>
      </c>
      <c r="L47" s="33"/>
      <c r="M47" s="33"/>
      <c r="N47" s="8" t="str">
        <f>IF(F47="","",L$41-Q47-R47)</f>
        <v/>
      </c>
      <c r="O47" s="8">
        <f t="shared" si="4"/>
        <v>3.5000000000000003E-2</v>
      </c>
      <c r="P47" s="8" t="str">
        <f t="shared" si="6"/>
        <v/>
      </c>
      <c r="Q47" s="8">
        <f>(B47*Standards!D$15)+Q46</f>
        <v>0.91247973080064759</v>
      </c>
      <c r="R47" s="8">
        <f t="shared" si="5"/>
        <v>0.56000000000000028</v>
      </c>
    </row>
    <row r="48" spans="1:26" x14ac:dyDescent="0.25">
      <c r="A48" s="35">
        <v>6</v>
      </c>
      <c r="B48" s="34"/>
      <c r="C48" s="50"/>
      <c r="D48" s="51"/>
      <c r="E48" s="16"/>
      <c r="F48" s="13"/>
      <c r="G48" s="56"/>
      <c r="H48" s="6" t="str">
        <f>IF(F48="","",N48-VLOOKUP(F48,Parts!A:F,6,FALSE))</f>
        <v/>
      </c>
      <c r="I48" s="6" t="str">
        <f>IF(F48="","",IF(F48=0,"",H48-(Standards!D$14*L$5)-(Standards!D$15*K$5)))</f>
        <v/>
      </c>
      <c r="J48" s="12" t="str">
        <f>IF(F48="","",VLOOKUP(F48,Parts!A:J,10,FALSE))</f>
        <v/>
      </c>
      <c r="K48" s="12" t="str">
        <f>IF(F48="","",VLOOKUP(F48,Parts!A:N,14,FALSE))</f>
        <v/>
      </c>
      <c r="L48" s="33"/>
      <c r="M48" s="33"/>
      <c r="N48" s="8" t="str">
        <f>IF(F48="","",L$41-Q48-R48)</f>
        <v/>
      </c>
      <c r="O48" s="8">
        <f t="shared" si="4"/>
        <v>3.5000000000000003E-2</v>
      </c>
      <c r="P48" s="8" t="str">
        <f t="shared" si="6"/>
        <v/>
      </c>
      <c r="Q48" s="8">
        <f>(B48*Standards!D$15)+Q47</f>
        <v>0.91247973080064759</v>
      </c>
      <c r="R48" s="8">
        <f t="shared" si="5"/>
        <v>0.56000000000000028</v>
      </c>
    </row>
    <row r="49" spans="1:26" x14ac:dyDescent="0.25">
      <c r="A49" s="35">
        <v>7</v>
      </c>
      <c r="B49" s="34"/>
      <c r="C49" s="50"/>
      <c r="D49" s="51"/>
      <c r="E49" s="16"/>
      <c r="F49" s="13"/>
      <c r="G49" s="56"/>
      <c r="H49" s="6" t="str">
        <f>IF(F49="","",N49-VLOOKUP(F49,Parts!A:F,6,FALSE))</f>
        <v/>
      </c>
      <c r="I49" s="6" t="str">
        <f>IF(F49="","",IF(F49=0,"",H49-(Standards!D$14*L$5)-(Standards!D$15*K$5)))</f>
        <v/>
      </c>
      <c r="J49" s="12" t="str">
        <f>IF(F49="","",VLOOKUP(F49,Parts!A:J,10,FALSE))</f>
        <v/>
      </c>
      <c r="K49" s="12" t="str">
        <f>IF(F49="","",VLOOKUP(F49,Parts!A:N,14,FALSE))</f>
        <v/>
      </c>
      <c r="L49" s="33"/>
      <c r="M49" s="33"/>
      <c r="N49" s="8" t="str">
        <f>IF(F49="","",L$41-Q49-R49)</f>
        <v/>
      </c>
      <c r="O49" s="8">
        <f t="shared" si="4"/>
        <v>3.5000000000000003E-2</v>
      </c>
      <c r="P49" s="8" t="str">
        <f t="shared" si="6"/>
        <v/>
      </c>
      <c r="Q49" s="8">
        <f>(B49*Standards!D$15)+Q48</f>
        <v>0.91247973080064759</v>
      </c>
      <c r="R49" s="8">
        <f t="shared" si="5"/>
        <v>0.56000000000000028</v>
      </c>
    </row>
    <row r="50" spans="1:26" x14ac:dyDescent="0.25">
      <c r="A50" s="35">
        <v>8</v>
      </c>
      <c r="B50" s="34"/>
      <c r="C50" s="50"/>
      <c r="D50" s="51"/>
      <c r="E50" s="16"/>
      <c r="F50" s="13"/>
      <c r="G50" s="40"/>
      <c r="H50" s="6" t="str">
        <f>IF(F50="","",N50-VLOOKUP(F50,Parts!A:F,6,FALSE))</f>
        <v/>
      </c>
      <c r="I50" s="6" t="str">
        <f>IF(F50="","",IF(F50=0,"",H50-(Standards!D$14*L$5)-(Standards!D$15*K$5)))</f>
        <v/>
      </c>
      <c r="J50" s="12" t="str">
        <f>IF(F50="","",VLOOKUP(F50,Parts!A:J,10,FALSE))</f>
        <v/>
      </c>
      <c r="K50" s="12" t="str">
        <f>IF(F50="","",VLOOKUP(F50,Parts!A:N,14,FALSE))</f>
        <v/>
      </c>
      <c r="L50" s="33"/>
      <c r="M50" s="33"/>
      <c r="N50" s="8" t="str">
        <f>IF(F50="","",L$41-Q50-R50)</f>
        <v/>
      </c>
      <c r="O50" s="8">
        <f t="shared" si="4"/>
        <v>3.5000000000000003E-2</v>
      </c>
      <c r="P50" s="8" t="str">
        <f t="shared" si="6"/>
        <v/>
      </c>
      <c r="Q50" s="8">
        <f>(B50*Standards!D$15)+Q49</f>
        <v>0.91247973080064759</v>
      </c>
      <c r="R50" s="8">
        <f t="shared" si="5"/>
        <v>0.56000000000000028</v>
      </c>
    </row>
    <row r="51" spans="1:26" x14ac:dyDescent="0.25">
      <c r="A51" s="35">
        <v>9</v>
      </c>
      <c r="B51" s="34"/>
      <c r="C51" s="50"/>
      <c r="D51" s="52"/>
      <c r="E51" s="17"/>
      <c r="F51" s="13"/>
      <c r="G51" s="40"/>
      <c r="H51" s="6" t="str">
        <f>IF(F51="","",N51-VLOOKUP(F51,Parts!A:F,6,FALSE))</f>
        <v/>
      </c>
      <c r="I51" s="6" t="str">
        <f>IF(F51="","",IF(F51=0,"",H51-(Standards!D$14*L$5)-(Standards!D$15*K$5)))</f>
        <v/>
      </c>
      <c r="J51" s="12" t="str">
        <f>IF(F51="","",VLOOKUP(F51,Parts!A:J,10,FALSE))</f>
        <v/>
      </c>
      <c r="K51" s="12" t="str">
        <f>IF(F51="","",VLOOKUP(F51,Parts!A:N,14,FALSE))</f>
        <v/>
      </c>
      <c r="L51" s="33"/>
      <c r="M51" s="33"/>
      <c r="N51" s="8" t="str">
        <f>IF(F51="","",L$41-Q51-R51)</f>
        <v/>
      </c>
      <c r="O51" s="8">
        <f t="shared" si="4"/>
        <v>3.5000000000000003E-2</v>
      </c>
      <c r="P51" s="8" t="str">
        <f t="shared" si="6"/>
        <v/>
      </c>
      <c r="Q51" s="8">
        <f>(B51*Standards!D$15)+Q50</f>
        <v>0.91247973080064759</v>
      </c>
      <c r="R51" s="8">
        <f t="shared" si="5"/>
        <v>0.56000000000000028</v>
      </c>
    </row>
    <row r="52" spans="1:26" s="8" customFormat="1" x14ac:dyDescent="0.25">
      <c r="A52" s="35">
        <v>10</v>
      </c>
      <c r="B52" s="34"/>
      <c r="C52" s="50"/>
      <c r="D52" s="52"/>
      <c r="E52" s="17"/>
      <c r="F52" s="13"/>
      <c r="G52" s="40"/>
      <c r="H52" s="6" t="str">
        <f>IF(F52="","",N52-VLOOKUP(F52,Parts!A:F,6,FALSE))</f>
        <v/>
      </c>
      <c r="I52" s="6" t="str">
        <f>IF(F52="","",IF(F52=0,"",H52-(Standards!D$14*L$5)-(Standards!D$15*K$5)))</f>
        <v/>
      </c>
      <c r="J52" s="12" t="str">
        <f>IF(F52="","",VLOOKUP(F52,Parts!A:J,10,FALSE))</f>
        <v/>
      </c>
      <c r="K52" s="12" t="str">
        <f>IF(F52="","",VLOOKUP(F52,Parts!A:N,14,FALSE))</f>
        <v/>
      </c>
      <c r="L52" s="33"/>
      <c r="M52" s="33"/>
      <c r="N52" s="8" t="str">
        <f>IF(F52="","",L$41-Q52-R52)</f>
        <v/>
      </c>
      <c r="O52" s="8">
        <f t="shared" si="4"/>
        <v>3.5000000000000003E-2</v>
      </c>
      <c r="P52" s="8" t="str">
        <f t="shared" si="6"/>
        <v/>
      </c>
      <c r="Q52" s="8">
        <f>(B52*Standards!D$15)+Q51</f>
        <v>0.91247973080064759</v>
      </c>
      <c r="R52" s="8">
        <f t="shared" si="5"/>
        <v>0.56000000000000028</v>
      </c>
      <c r="T52" s="59"/>
      <c r="U52" s="59"/>
      <c r="V52" s="59"/>
      <c r="W52" s="59"/>
      <c r="X52" s="59"/>
      <c r="Y52" s="59"/>
      <c r="Z52" s="59"/>
    </row>
    <row r="53" spans="1:26" s="8" customFormat="1" x14ac:dyDescent="0.25">
      <c r="A53" s="35">
        <v>11</v>
      </c>
      <c r="B53" s="34"/>
      <c r="C53" s="50"/>
      <c r="D53" s="51"/>
      <c r="E53" s="18"/>
      <c r="F53" s="13"/>
      <c r="G53" s="40"/>
      <c r="H53" s="6" t="str">
        <f>IF(F53="","",N53-VLOOKUP(F53,Parts!A:F,6,FALSE))</f>
        <v/>
      </c>
      <c r="I53" s="6" t="str">
        <f>IF(F53="","",IF(F53=0,"",H53-(Standards!D$14*L$5)-(Standards!D$15*K$5)))</f>
        <v/>
      </c>
      <c r="J53" s="12" t="str">
        <f>IF(F53="","",VLOOKUP(F53,Parts!A:J,10,FALSE))</f>
        <v/>
      </c>
      <c r="K53" s="12" t="str">
        <f>IF(F53="","",VLOOKUP(F53,Parts!A:N,14,FALSE))</f>
        <v/>
      </c>
      <c r="L53" s="33"/>
      <c r="M53" s="33"/>
      <c r="N53" s="8" t="str">
        <f>IF(F53="","",L$41-Q53-R53)</f>
        <v/>
      </c>
      <c r="O53" s="8">
        <f t="shared" si="4"/>
        <v>3.5000000000000003E-2</v>
      </c>
      <c r="P53" s="8" t="str">
        <f t="shared" si="6"/>
        <v/>
      </c>
      <c r="Q53" s="8">
        <f>(B53*Standards!D$15)+Q52</f>
        <v>0.91247973080064759</v>
      </c>
      <c r="R53" s="8">
        <f t="shared" si="5"/>
        <v>0.56000000000000028</v>
      </c>
      <c r="T53" s="59"/>
      <c r="U53" s="59"/>
      <c r="V53" s="59"/>
      <c r="W53" s="59"/>
      <c r="X53" s="59"/>
      <c r="Y53" s="59"/>
      <c r="Z53" s="59"/>
    </row>
    <row r="54" spans="1:26" s="8" customFormat="1" x14ac:dyDescent="0.25">
      <c r="A54" s="35">
        <v>12</v>
      </c>
      <c r="B54" s="34"/>
      <c r="C54" s="50"/>
      <c r="D54" s="52"/>
      <c r="E54" s="17"/>
      <c r="F54" s="13"/>
      <c r="G54" s="40"/>
      <c r="H54" s="6" t="str">
        <f>IF(F54="","",N54-VLOOKUP(F54,Parts!A:F,6,FALSE))</f>
        <v/>
      </c>
      <c r="I54" s="6" t="str">
        <f>IF(F54="","",IF(F54=0,"",H54-(Standards!D$14*L$5)-(Standards!D$15*K$5)))</f>
        <v/>
      </c>
      <c r="J54" s="12" t="str">
        <f>IF(F54="","",VLOOKUP(F54,Parts!A:J,10,FALSE))</f>
        <v/>
      </c>
      <c r="K54" s="12" t="str">
        <f>IF(F54="","",VLOOKUP(F54,Parts!A:N,14,FALSE))</f>
        <v/>
      </c>
      <c r="L54" s="33"/>
      <c r="M54" s="33"/>
      <c r="N54" s="8" t="str">
        <f>IF(F54="","",L$41-Q54-R54)</f>
        <v/>
      </c>
      <c r="O54" s="8">
        <f t="shared" si="4"/>
        <v>3.5000000000000003E-2</v>
      </c>
      <c r="P54" s="8" t="str">
        <f t="shared" si="6"/>
        <v/>
      </c>
      <c r="Q54" s="8">
        <f>(B54*Standards!D$15)+Q53</f>
        <v>0.91247973080064759</v>
      </c>
      <c r="R54" s="8">
        <f t="shared" si="5"/>
        <v>0.56000000000000028</v>
      </c>
      <c r="T54" s="59"/>
      <c r="U54" s="59"/>
      <c r="V54" s="59"/>
      <c r="W54" s="59"/>
      <c r="X54" s="59"/>
      <c r="Y54" s="59"/>
      <c r="Z54" s="59"/>
    </row>
    <row r="55" spans="1:26" s="8" customFormat="1" x14ac:dyDescent="0.25">
      <c r="A55" s="35">
        <v>13</v>
      </c>
      <c r="B55" s="34"/>
      <c r="C55" s="50"/>
      <c r="D55" s="53"/>
      <c r="E55" s="16"/>
      <c r="F55" s="13"/>
      <c r="G55" s="40"/>
      <c r="H55" s="6" t="str">
        <f>IF(F55="","",N55-VLOOKUP(F55,Parts!A:F,6,FALSE))</f>
        <v/>
      </c>
      <c r="I55" s="6" t="str">
        <f>IF(F55="","",IF(F55=0,"",H55-(Standards!D$14*L$5)-(Standards!D$15*K$5)))</f>
        <v/>
      </c>
      <c r="J55" s="12" t="str">
        <f>IF(F55="","",VLOOKUP(F55,Parts!A:J,10,FALSE))</f>
        <v/>
      </c>
      <c r="K55" s="12" t="str">
        <f>IF(F55="","",VLOOKUP(F55,Parts!A:N,14,FALSE))</f>
        <v/>
      </c>
      <c r="L55" s="33"/>
      <c r="M55" s="33"/>
      <c r="N55" s="8" t="str">
        <f>IF(F55="","",L$41-Q55-R55)</f>
        <v/>
      </c>
      <c r="O55" s="8">
        <f t="shared" si="4"/>
        <v>3.5000000000000003E-2</v>
      </c>
      <c r="P55" s="8" t="str">
        <f t="shared" si="6"/>
        <v/>
      </c>
      <c r="Q55" s="8">
        <f>(B55*Standards!D$15)+Q54</f>
        <v>0.91247973080064759</v>
      </c>
      <c r="R55" s="8">
        <f t="shared" si="5"/>
        <v>0.56000000000000028</v>
      </c>
      <c r="T55" s="59"/>
      <c r="U55" s="59"/>
      <c r="V55" s="59"/>
      <c r="W55" s="59"/>
      <c r="X55" s="59"/>
      <c r="Y55" s="59"/>
      <c r="Z55" s="59"/>
    </row>
    <row r="56" spans="1:26" s="8" customFormat="1" x14ac:dyDescent="0.25">
      <c r="A56" s="35">
        <v>14</v>
      </c>
      <c r="B56" s="34"/>
      <c r="C56" s="50"/>
      <c r="D56" s="53"/>
      <c r="E56" s="16"/>
      <c r="F56" s="13"/>
      <c r="G56" s="40"/>
      <c r="H56" s="6" t="str">
        <f>IF(F56="","",N56-VLOOKUP(F56,Parts!A:F,6,FALSE))</f>
        <v/>
      </c>
      <c r="I56" s="6" t="str">
        <f>IF(F56="","",IF(F56=0,"",H56-(Standards!D$14*L$5)-(Standards!D$15*K$5)))</f>
        <v/>
      </c>
      <c r="J56" s="12" t="str">
        <f>IF(F56="","",VLOOKUP(F56,Parts!A:J,10,FALSE))</f>
        <v/>
      </c>
      <c r="K56" s="12" t="str">
        <f>IF(F56="","",VLOOKUP(F56,Parts!A:N,14,FALSE))</f>
        <v/>
      </c>
      <c r="L56" s="33"/>
      <c r="M56" s="33"/>
      <c r="N56" s="8" t="str">
        <f>IF(F56="","",L$41-Q56-R56)</f>
        <v/>
      </c>
      <c r="O56" s="8">
        <f t="shared" si="4"/>
        <v>3.5000000000000003E-2</v>
      </c>
      <c r="P56" s="8" t="str">
        <f t="shared" si="6"/>
        <v/>
      </c>
      <c r="Q56" s="8">
        <f>(B56*Standards!D$15)+Q55</f>
        <v>0.91247973080064759</v>
      </c>
      <c r="R56" s="8">
        <f t="shared" si="5"/>
        <v>0.56000000000000028</v>
      </c>
      <c r="T56" s="59"/>
      <c r="U56" s="59"/>
      <c r="V56" s="59"/>
      <c r="W56" s="59"/>
      <c r="X56" s="59"/>
      <c r="Y56" s="59"/>
      <c r="Z56" s="59"/>
    </row>
    <row r="57" spans="1:26" s="8" customFormat="1" x14ac:dyDescent="0.25">
      <c r="A57" s="35">
        <v>15</v>
      </c>
      <c r="B57" s="34"/>
      <c r="C57" s="50"/>
      <c r="D57" s="53"/>
      <c r="E57" s="16"/>
      <c r="F57" s="13"/>
      <c r="G57" s="40"/>
      <c r="H57" s="6" t="str">
        <f>IF(F57="","",N57-VLOOKUP(F57,Parts!A:F,6,FALSE))</f>
        <v/>
      </c>
      <c r="I57" s="6" t="str">
        <f>IF(F57="","",IF(F57=0,"",H57-(Standards!D$14*L$5)-(Standards!D$15*K$5)))</f>
        <v/>
      </c>
      <c r="J57" s="12" t="str">
        <f>IF(F57="","",VLOOKUP(F57,Parts!A:J,10,FALSE))</f>
        <v/>
      </c>
      <c r="K57" s="12" t="str">
        <f>IF(F57="","",VLOOKUP(F57,Parts!A:N,14,FALSE))</f>
        <v/>
      </c>
      <c r="L57" s="33"/>
      <c r="M57" s="33"/>
      <c r="N57" s="8" t="str">
        <f>IF(F57="","",L$41-Q57-R57)</f>
        <v/>
      </c>
      <c r="O57" s="8">
        <f t="shared" si="4"/>
        <v>3.5000000000000003E-2</v>
      </c>
      <c r="P57" s="8" t="str">
        <f t="shared" si="6"/>
        <v/>
      </c>
      <c r="Q57" s="8">
        <f>(B57*Standards!D$15)+Q56</f>
        <v>0.91247973080064759</v>
      </c>
      <c r="R57" s="8">
        <f t="shared" si="5"/>
        <v>0.56000000000000028</v>
      </c>
      <c r="T57" s="59"/>
      <c r="U57" s="59"/>
      <c r="V57" s="59"/>
      <c r="W57" s="59"/>
      <c r="X57" s="59"/>
      <c r="Y57" s="59"/>
      <c r="Z57" s="59"/>
    </row>
    <row r="58" spans="1:26" s="8" customFormat="1" x14ac:dyDescent="0.25">
      <c r="A58" s="35">
        <v>16</v>
      </c>
      <c r="B58" s="34"/>
      <c r="C58" s="50"/>
      <c r="D58" s="53"/>
      <c r="E58" s="16"/>
      <c r="F58" s="13"/>
      <c r="G58" s="40"/>
      <c r="H58" s="6" t="str">
        <f>IF(F58="","",N58-VLOOKUP(F58,Parts!A:F,6,FALSE))</f>
        <v/>
      </c>
      <c r="I58" s="6" t="str">
        <f>IF(F58="","",IF(F58=0,"",H58-(Standards!D$14*L$5)-(Standards!D$15*K$5)))</f>
        <v/>
      </c>
      <c r="J58" s="12" t="str">
        <f>IF(F58="","",VLOOKUP(F58,Parts!A:J,10,FALSE))</f>
        <v/>
      </c>
      <c r="K58" s="12" t="str">
        <f>IF(F58="","",VLOOKUP(F58,Parts!A:N,14,FALSE))</f>
        <v/>
      </c>
      <c r="L58" s="33"/>
      <c r="M58" s="33"/>
      <c r="N58" s="8" t="str">
        <f>IF(F58="","",L$41-Q58-R58)</f>
        <v/>
      </c>
      <c r="O58" s="8">
        <f t="shared" si="4"/>
        <v>3.5000000000000003E-2</v>
      </c>
      <c r="P58" s="8" t="str">
        <f t="shared" si="6"/>
        <v/>
      </c>
      <c r="Q58" s="8">
        <f>(B58*Standards!D$15)+Q57</f>
        <v>0.91247973080064759</v>
      </c>
      <c r="R58" s="8">
        <f t="shared" si="5"/>
        <v>0.56000000000000028</v>
      </c>
      <c r="T58" s="59"/>
      <c r="U58" s="59"/>
      <c r="V58" s="59"/>
      <c r="W58" s="59"/>
      <c r="X58" s="59"/>
      <c r="Y58" s="59"/>
      <c r="Z58" s="59"/>
    </row>
    <row r="59" spans="1:26" s="8" customFormat="1" x14ac:dyDescent="0.25">
      <c r="A59" s="35">
        <v>17</v>
      </c>
      <c r="B59" s="34"/>
      <c r="C59" s="50"/>
      <c r="D59" s="53"/>
      <c r="E59" s="16"/>
      <c r="F59" s="13"/>
      <c r="G59" s="40"/>
      <c r="H59" s="6" t="str">
        <f>IF(F59="","",N59-VLOOKUP(F59,Parts!A:F,6,FALSE))</f>
        <v/>
      </c>
      <c r="I59" s="6" t="str">
        <f>IF(F59="","",IF(F59=0,"",H59-(Standards!D$14*L$5)-(Standards!D$15*K$5)))</f>
        <v/>
      </c>
      <c r="J59" s="12" t="str">
        <f>IF(F59="","",VLOOKUP(F59,Parts!A:J,10,FALSE))</f>
        <v/>
      </c>
      <c r="K59" s="12" t="str">
        <f>IF(F59="","",VLOOKUP(F59,Parts!A:N,14,FALSE))</f>
        <v/>
      </c>
      <c r="L59" s="33"/>
      <c r="M59" s="33"/>
      <c r="N59" s="8" t="str">
        <f>IF(F59="","",L$41-Q59-R59)</f>
        <v/>
      </c>
      <c r="O59" s="8">
        <f t="shared" si="4"/>
        <v>3.5000000000000003E-2</v>
      </c>
      <c r="P59" s="8" t="str">
        <f t="shared" si="6"/>
        <v/>
      </c>
      <c r="Q59" s="8">
        <f>(B59*Standards!D$15)+Q58</f>
        <v>0.91247973080064759</v>
      </c>
      <c r="R59" s="8">
        <f t="shared" si="5"/>
        <v>0.56000000000000028</v>
      </c>
      <c r="T59" s="59"/>
      <c r="U59" s="59"/>
      <c r="V59" s="59"/>
      <c r="W59" s="59"/>
      <c r="X59" s="59"/>
      <c r="Y59" s="59"/>
      <c r="Z59" s="59"/>
    </row>
    <row r="60" spans="1:26" s="8" customFormat="1" x14ac:dyDescent="0.25">
      <c r="A60" s="35">
        <v>18</v>
      </c>
      <c r="B60" s="34"/>
      <c r="C60" s="50"/>
      <c r="D60" s="53"/>
      <c r="E60" s="16"/>
      <c r="F60" s="13"/>
      <c r="G60" s="40"/>
      <c r="H60" s="6" t="str">
        <f>IF(F60="","",N60-VLOOKUP(F60,Parts!A:F,6,FALSE))</f>
        <v/>
      </c>
      <c r="I60" s="6" t="str">
        <f>IF(F60="","",IF(F60=0,"",H60-(Standards!D$14*L$5)-(Standards!D$15*K$5)))</f>
        <v/>
      </c>
      <c r="J60" s="12" t="str">
        <f>IF(F60="","",VLOOKUP(F60,Parts!A:J,10,FALSE))</f>
        <v/>
      </c>
      <c r="K60" s="12" t="str">
        <f>IF(F60="","",VLOOKUP(F60,Parts!A:N,14,FALSE))</f>
        <v/>
      </c>
      <c r="L60" s="33"/>
      <c r="M60" s="33"/>
      <c r="N60" s="8" t="str">
        <f>IF(F60="","",L$41-Q60-R60)</f>
        <v/>
      </c>
      <c r="O60" s="8">
        <f t="shared" si="4"/>
        <v>3.5000000000000003E-2</v>
      </c>
      <c r="P60" s="8" t="str">
        <f t="shared" si="6"/>
        <v/>
      </c>
      <c r="Q60" s="8">
        <f>(B60*Standards!D$15)+Q59</f>
        <v>0.91247973080064759</v>
      </c>
      <c r="R60" s="8">
        <f t="shared" si="5"/>
        <v>0.56000000000000028</v>
      </c>
      <c r="T60" s="59"/>
      <c r="U60" s="59"/>
      <c r="V60" s="59"/>
      <c r="W60" s="59"/>
      <c r="X60" s="59"/>
      <c r="Y60" s="59"/>
      <c r="Z60" s="59"/>
    </row>
    <row r="62" spans="1:26" ht="18.75" x14ac:dyDescent="0.3">
      <c r="A62" s="94" t="s">
        <v>195</v>
      </c>
      <c r="C62" s="96" t="s">
        <v>191</v>
      </c>
      <c r="K62" s="93" t="s">
        <v>190</v>
      </c>
      <c r="L62" s="95">
        <f>P24</f>
        <v>-11.51191219321881</v>
      </c>
    </row>
    <row r="63" spans="1:26" s="7" customFormat="1" ht="40.5" customHeight="1" x14ac:dyDescent="0.25">
      <c r="A63" s="20" t="s">
        <v>151</v>
      </c>
      <c r="B63" s="21" t="s">
        <v>152</v>
      </c>
      <c r="C63" s="21" t="s">
        <v>153</v>
      </c>
      <c r="D63" s="19" t="s">
        <v>154</v>
      </c>
      <c r="E63" s="19" t="s">
        <v>155</v>
      </c>
      <c r="F63" s="19" t="s">
        <v>156</v>
      </c>
      <c r="G63" s="19" t="s">
        <v>157</v>
      </c>
      <c r="H63" s="19" t="s">
        <v>158</v>
      </c>
      <c r="I63" s="19" t="s">
        <v>159</v>
      </c>
      <c r="J63" s="19" t="s">
        <v>87</v>
      </c>
      <c r="K63" s="20" t="s">
        <v>160</v>
      </c>
      <c r="L63" s="19" t="s">
        <v>161</v>
      </c>
      <c r="M63" s="20" t="s">
        <v>162</v>
      </c>
      <c r="N63" s="8" t="s">
        <v>163</v>
      </c>
      <c r="O63" s="8" t="s">
        <v>164</v>
      </c>
      <c r="P63" s="8" t="s">
        <v>165</v>
      </c>
      <c r="Q63" s="8">
        <f>Q24</f>
        <v>0.94118579388205348</v>
      </c>
      <c r="R63" s="8">
        <f>R24</f>
        <v>0.59500000000000031</v>
      </c>
      <c r="S63" s="36"/>
      <c r="T63" s="61"/>
      <c r="U63" s="61"/>
      <c r="V63" s="61"/>
      <c r="W63" s="61"/>
      <c r="X63" s="61"/>
      <c r="Y63" s="61"/>
      <c r="Z63" s="61"/>
    </row>
    <row r="64" spans="1:26" x14ac:dyDescent="0.25">
      <c r="A64" s="35">
        <v>1</v>
      </c>
      <c r="B64" s="34">
        <f>372+100</f>
        <v>472</v>
      </c>
      <c r="C64" s="50" t="s">
        <v>187</v>
      </c>
      <c r="D64" s="51" t="s">
        <v>196</v>
      </c>
      <c r="E64" s="18" t="s">
        <v>91</v>
      </c>
      <c r="F64" s="13">
        <v>4</v>
      </c>
      <c r="G64" s="40"/>
      <c r="H64" s="6">
        <f>IF(F64="","",N64-VLOOKUP(F64,Parts!A:F,6,FALSE))</f>
        <v>-20.372012289535608</v>
      </c>
      <c r="I64" s="6">
        <f>IF(F64="","",IF(F64=0,"",H64-(Standards!D$14*L$5)-(Standards!D$15*K$5)))</f>
        <v>-20.727460284561271</v>
      </c>
      <c r="J64" s="12" t="str">
        <f>IF(F64="","",VLOOKUP(F64,Parts!A:J,10,FALSE))</f>
        <v>USBM1X4</v>
      </c>
      <c r="K64" s="12" t="str">
        <f>IF(F64="","",VLOOKUP(F64,Parts!A:N,14,FALSE))</f>
        <v>PLO-U-104-SCA-SCA</v>
      </c>
      <c r="L64" s="33" t="s">
        <v>266</v>
      </c>
      <c r="M64" s="33" t="s">
        <v>267</v>
      </c>
      <c r="N64" s="8">
        <f>IF(F64="","",L$62-Q64-R64)</f>
        <v>-13.132012289535608</v>
      </c>
      <c r="O64" s="8">
        <f t="shared" ref="O64:O76" si="7">VLOOKUP(H$5,Losses,3,FALSE)</f>
        <v>3.5000000000000003E-2</v>
      </c>
      <c r="P64" s="8">
        <f>IF(F64="","",N64-O64)</f>
        <v>-13.167012289535608</v>
      </c>
      <c r="Q64" s="8">
        <f>(B64*Standards!D$15)+Q63</f>
        <v>0.99010009631679574</v>
      </c>
      <c r="R64" s="8">
        <f t="shared" ref="R64:R76" si="8">IF(F64&lt;&gt;"",VLOOKUP(H$5,Losses,3,FALSE)+R63,R63)</f>
        <v>0.63000000000000034</v>
      </c>
    </row>
    <row r="65" spans="1:26" x14ac:dyDescent="0.25">
      <c r="A65" s="35">
        <v>2</v>
      </c>
      <c r="B65" s="34"/>
      <c r="C65" s="50"/>
      <c r="D65" s="51"/>
      <c r="E65" s="16"/>
      <c r="F65" s="13"/>
      <c r="G65" s="55"/>
      <c r="H65" s="6" t="str">
        <f>IF(F65="","",N65-VLOOKUP(F65,Parts!A:F,6,FALSE))</f>
        <v/>
      </c>
      <c r="I65" s="6" t="str">
        <f>IF(F65="","",IF(F65=0,"",H65-(Standards!D$14*L$5)-(Standards!D$15*K$5)))</f>
        <v/>
      </c>
      <c r="J65" s="12" t="str">
        <f>IF(F65="","",VLOOKUP(F65,Parts!A:J,10,FALSE))</f>
        <v/>
      </c>
      <c r="K65" s="12" t="str">
        <f>IF(F65="","",VLOOKUP(F65,Parts!A:N,14,FALSE))</f>
        <v/>
      </c>
      <c r="L65" s="33"/>
      <c r="M65" s="33"/>
      <c r="N65" s="8" t="str">
        <f>IF(F65="","",L$62-Q65-R65)</f>
        <v/>
      </c>
      <c r="O65" s="8">
        <f t="shared" si="7"/>
        <v>3.5000000000000003E-2</v>
      </c>
      <c r="P65" s="8" t="str">
        <f t="shared" ref="P65:P76" si="9">IF(F65="","",N65-O65)</f>
        <v/>
      </c>
      <c r="Q65" s="8">
        <f>(B65*Standards!D$15)+Q64</f>
        <v>0.99010009631679574</v>
      </c>
      <c r="R65" s="8">
        <f t="shared" si="8"/>
        <v>0.63000000000000034</v>
      </c>
    </row>
    <row r="66" spans="1:26" x14ac:dyDescent="0.25">
      <c r="A66" s="35">
        <v>3</v>
      </c>
      <c r="B66" s="34"/>
      <c r="C66" s="50"/>
      <c r="D66" s="51"/>
      <c r="E66" s="17"/>
      <c r="F66" s="13"/>
      <c r="G66" s="40"/>
      <c r="H66" s="6" t="str">
        <f>IF(F66="","",N66-VLOOKUP(F66,Parts!A:F,6,FALSE))</f>
        <v/>
      </c>
      <c r="I66" s="6" t="str">
        <f>IF(F66="","",IF(F66=0,"",H66-(Standards!D$14*L$5)-(Standards!D$15*K$5)))</f>
        <v/>
      </c>
      <c r="J66" s="12" t="str">
        <f>IF(F66="","",VLOOKUP(F66,Parts!A:J,10,FALSE))</f>
        <v/>
      </c>
      <c r="K66" s="12" t="str">
        <f>IF(F66="","",VLOOKUP(F66,Parts!A:N,14,FALSE))</f>
        <v/>
      </c>
      <c r="L66" s="33"/>
      <c r="M66" s="33"/>
      <c r="N66" s="8" t="str">
        <f>IF(F66="","",L$62-Q66-R66)</f>
        <v/>
      </c>
      <c r="O66" s="8">
        <f t="shared" si="7"/>
        <v>3.5000000000000003E-2</v>
      </c>
      <c r="P66" s="8" t="str">
        <f t="shared" si="9"/>
        <v/>
      </c>
      <c r="Q66" s="8">
        <f>(B66*Standards!D$15)+Q65</f>
        <v>0.99010009631679574</v>
      </c>
      <c r="R66" s="8">
        <f t="shared" si="8"/>
        <v>0.63000000000000034</v>
      </c>
    </row>
    <row r="67" spans="1:26" x14ac:dyDescent="0.25">
      <c r="A67" s="35">
        <v>4</v>
      </c>
      <c r="B67" s="34"/>
      <c r="C67" s="50"/>
      <c r="D67" s="51"/>
      <c r="E67" s="16"/>
      <c r="F67" s="13"/>
      <c r="G67" s="56"/>
      <c r="H67" s="6" t="str">
        <f>IF(F67="","",N67-VLOOKUP(F67,Parts!A:F,6,FALSE))</f>
        <v/>
      </c>
      <c r="I67" s="6" t="str">
        <f>IF(F67="","",IF(F67=0,"",H67-(Standards!D$14*L$5)-(Standards!D$15*K$5)))</f>
        <v/>
      </c>
      <c r="J67" s="12" t="str">
        <f>IF(F67="","",VLOOKUP(F67,Parts!A:J,10,FALSE))</f>
        <v/>
      </c>
      <c r="K67" s="12" t="str">
        <f>IF(F67="","",VLOOKUP(F67,Parts!A:N,14,FALSE))</f>
        <v/>
      </c>
      <c r="L67" s="33"/>
      <c r="M67" s="33"/>
      <c r="N67" s="8" t="str">
        <f>IF(F67="","",L$62-Q67-R67)</f>
        <v/>
      </c>
      <c r="O67" s="8">
        <f t="shared" si="7"/>
        <v>3.5000000000000003E-2</v>
      </c>
      <c r="P67" s="8" t="str">
        <f t="shared" si="9"/>
        <v/>
      </c>
      <c r="Q67" s="8">
        <f>(B67*Standards!D$15)+Q66</f>
        <v>0.99010009631679574</v>
      </c>
      <c r="R67" s="8">
        <f t="shared" si="8"/>
        <v>0.63000000000000034</v>
      </c>
    </row>
    <row r="68" spans="1:26" x14ac:dyDescent="0.25">
      <c r="A68" s="35">
        <v>5</v>
      </c>
      <c r="B68" s="34"/>
      <c r="C68" s="50"/>
      <c r="D68" s="51"/>
      <c r="E68" s="16"/>
      <c r="F68" s="13"/>
      <c r="G68" s="55"/>
      <c r="H68" s="6" t="str">
        <f>IF(F68="","",N68-VLOOKUP(F68,Parts!A:F,6,FALSE))</f>
        <v/>
      </c>
      <c r="I68" s="6" t="str">
        <f>IF(F68="","",IF(F68=0,"",H68-(Standards!D$14*L$5)-(Standards!D$15*K$5)))</f>
        <v/>
      </c>
      <c r="J68" s="12" t="str">
        <f>IF(F68="","",VLOOKUP(F68,Parts!A:J,10,FALSE))</f>
        <v/>
      </c>
      <c r="K68" s="12" t="str">
        <f>IF(F68="","",VLOOKUP(F68,Parts!A:N,14,FALSE))</f>
        <v/>
      </c>
      <c r="L68" s="33"/>
      <c r="M68" s="33"/>
      <c r="N68" s="8" t="str">
        <f>IF(F68="","",L$62-Q68-R68)</f>
        <v/>
      </c>
      <c r="O68" s="8">
        <f t="shared" si="7"/>
        <v>3.5000000000000003E-2</v>
      </c>
      <c r="P68" s="8" t="str">
        <f t="shared" si="9"/>
        <v/>
      </c>
      <c r="Q68" s="8">
        <f>(B68*Standards!D$15)+Q67</f>
        <v>0.99010009631679574</v>
      </c>
      <c r="R68" s="8">
        <f t="shared" si="8"/>
        <v>0.63000000000000034</v>
      </c>
    </row>
    <row r="69" spans="1:26" x14ac:dyDescent="0.25">
      <c r="A69" s="35">
        <v>6</v>
      </c>
      <c r="B69" s="34"/>
      <c r="C69" s="50"/>
      <c r="D69" s="51"/>
      <c r="E69" s="16"/>
      <c r="F69" s="13"/>
      <c r="G69" s="56"/>
      <c r="H69" s="6" t="str">
        <f>IF(F69="","",N69-VLOOKUP(F69,Parts!A:F,6,FALSE))</f>
        <v/>
      </c>
      <c r="I69" s="6" t="str">
        <f>IF(F69="","",IF(F69=0,"",H69-(Standards!D$14*L$5)-(Standards!D$15*K$5)))</f>
        <v/>
      </c>
      <c r="J69" s="12" t="str">
        <f>IF(F69="","",VLOOKUP(F69,Parts!A:J,10,FALSE))</f>
        <v/>
      </c>
      <c r="K69" s="12" t="str">
        <f>IF(F69="","",VLOOKUP(F69,Parts!A:N,14,FALSE))</f>
        <v/>
      </c>
      <c r="L69" s="33"/>
      <c r="M69" s="33"/>
      <c r="N69" s="8" t="str">
        <f>IF(F69="","",L$62-Q69-R69)</f>
        <v/>
      </c>
      <c r="O69" s="8">
        <f t="shared" si="7"/>
        <v>3.5000000000000003E-2</v>
      </c>
      <c r="P69" s="8" t="str">
        <f t="shared" si="9"/>
        <v/>
      </c>
      <c r="Q69" s="8">
        <f>(B69*Standards!D$15)+Q68</f>
        <v>0.99010009631679574</v>
      </c>
      <c r="R69" s="8">
        <f t="shared" si="8"/>
        <v>0.63000000000000034</v>
      </c>
    </row>
    <row r="70" spans="1:26" x14ac:dyDescent="0.25">
      <c r="A70" s="35">
        <v>7</v>
      </c>
      <c r="B70" s="34"/>
      <c r="C70" s="50"/>
      <c r="D70" s="51"/>
      <c r="E70" s="16"/>
      <c r="F70" s="13"/>
      <c r="G70" s="56"/>
      <c r="H70" s="6" t="str">
        <f>IF(F70="","",N70-VLOOKUP(F70,Parts!A:F,6,FALSE))</f>
        <v/>
      </c>
      <c r="I70" s="6" t="str">
        <f>IF(F70="","",IF(F70=0,"",H70-(Standards!D$14*L$5)-(Standards!D$15*K$5)))</f>
        <v/>
      </c>
      <c r="J70" s="12" t="str">
        <f>IF(F70="","",VLOOKUP(F70,Parts!A:J,10,FALSE))</f>
        <v/>
      </c>
      <c r="K70" s="12" t="str">
        <f>IF(F70="","",VLOOKUP(F70,Parts!A:N,14,FALSE))</f>
        <v/>
      </c>
      <c r="L70" s="33"/>
      <c r="M70" s="33"/>
      <c r="N70" s="8" t="str">
        <f>IF(F70="","",L$62-Q70-R70)</f>
        <v/>
      </c>
      <c r="O70" s="8">
        <f t="shared" si="7"/>
        <v>3.5000000000000003E-2</v>
      </c>
      <c r="P70" s="8" t="str">
        <f t="shared" si="9"/>
        <v/>
      </c>
      <c r="Q70" s="8">
        <f>(B70*Standards!D$15)+Q69</f>
        <v>0.99010009631679574</v>
      </c>
      <c r="R70" s="8">
        <f t="shared" si="8"/>
        <v>0.63000000000000034</v>
      </c>
    </row>
    <row r="71" spans="1:26" x14ac:dyDescent="0.25">
      <c r="A71" s="35">
        <v>8</v>
      </c>
      <c r="B71" s="34"/>
      <c r="C71" s="50"/>
      <c r="D71" s="51"/>
      <c r="E71" s="16"/>
      <c r="F71" s="13"/>
      <c r="G71" s="40"/>
      <c r="H71" s="6" t="str">
        <f>IF(F71="","",N71-VLOOKUP(F71,Parts!A:F,6,FALSE))</f>
        <v/>
      </c>
      <c r="I71" s="6" t="str">
        <f>IF(F71="","",IF(F71=0,"",H71-(Standards!D$14*L$5)-(Standards!D$15*K$5)))</f>
        <v/>
      </c>
      <c r="J71" s="12" t="str">
        <f>IF(F71="","",VLOOKUP(F71,Parts!A:J,10,FALSE))</f>
        <v/>
      </c>
      <c r="K71" s="12" t="str">
        <f>IF(F71="","",VLOOKUP(F71,Parts!A:N,14,FALSE))</f>
        <v/>
      </c>
      <c r="L71" s="33"/>
      <c r="M71" s="33"/>
      <c r="N71" s="8" t="str">
        <f>IF(F71="","",L$62-Q71-R71)</f>
        <v/>
      </c>
      <c r="O71" s="8">
        <f t="shared" si="7"/>
        <v>3.5000000000000003E-2</v>
      </c>
      <c r="P71" s="8" t="str">
        <f t="shared" si="9"/>
        <v/>
      </c>
      <c r="Q71" s="8">
        <f>(B71*Standards!D$15)+Q70</f>
        <v>0.99010009631679574</v>
      </c>
      <c r="R71" s="8">
        <f t="shared" si="8"/>
        <v>0.63000000000000034</v>
      </c>
    </row>
    <row r="72" spans="1:26" x14ac:dyDescent="0.25">
      <c r="A72" s="35">
        <v>9</v>
      </c>
      <c r="B72" s="34"/>
      <c r="C72" s="50"/>
      <c r="D72" s="52"/>
      <c r="E72" s="17"/>
      <c r="F72" s="13"/>
      <c r="G72" s="40"/>
      <c r="H72" s="6" t="str">
        <f>IF(F72="","",N72-VLOOKUP(F72,Parts!A:F,6,FALSE))</f>
        <v/>
      </c>
      <c r="I72" s="6" t="str">
        <f>IF(F72="","",IF(F72=0,"",H72-(Standards!D$14*L$5)-(Standards!D$15*K$5)))</f>
        <v/>
      </c>
      <c r="J72" s="12" t="str">
        <f>IF(F72="","",VLOOKUP(F72,Parts!A:J,10,FALSE))</f>
        <v/>
      </c>
      <c r="K72" s="12" t="str">
        <f>IF(F72="","",VLOOKUP(F72,Parts!A:N,14,FALSE))</f>
        <v/>
      </c>
      <c r="L72" s="33"/>
      <c r="M72" s="33"/>
      <c r="N72" s="8" t="str">
        <f>IF(F72="","",L$62-Q72-R72)</f>
        <v/>
      </c>
      <c r="O72" s="8">
        <f t="shared" si="7"/>
        <v>3.5000000000000003E-2</v>
      </c>
      <c r="P72" s="8" t="str">
        <f t="shared" si="9"/>
        <v/>
      </c>
      <c r="Q72" s="8">
        <f>(B72*Standards!D$15)+Q71</f>
        <v>0.99010009631679574</v>
      </c>
      <c r="R72" s="8">
        <f t="shared" si="8"/>
        <v>0.63000000000000034</v>
      </c>
    </row>
    <row r="73" spans="1:26" s="8" customFormat="1" x14ac:dyDescent="0.25">
      <c r="A73" s="35">
        <v>10</v>
      </c>
      <c r="B73" s="34"/>
      <c r="C73" s="50"/>
      <c r="D73" s="52"/>
      <c r="E73" s="17"/>
      <c r="F73" s="13"/>
      <c r="G73" s="40"/>
      <c r="H73" s="6" t="str">
        <f>IF(F73="","",N73-VLOOKUP(F73,Parts!A:F,6,FALSE))</f>
        <v/>
      </c>
      <c r="I73" s="6" t="str">
        <f>IF(F73="","",IF(F73=0,"",H73-(Standards!D$14*L$5)-(Standards!D$15*K$5)))</f>
        <v/>
      </c>
      <c r="J73" s="12" t="str">
        <f>IF(F73="","",VLOOKUP(F73,Parts!A:J,10,FALSE))</f>
        <v/>
      </c>
      <c r="K73" s="12" t="str">
        <f>IF(F73="","",VLOOKUP(F73,Parts!A:N,14,FALSE))</f>
        <v/>
      </c>
      <c r="L73" s="33"/>
      <c r="M73" s="33"/>
      <c r="N73" s="8" t="str">
        <f>IF(F73="","",L$62-Q73-R73)</f>
        <v/>
      </c>
      <c r="O73" s="8">
        <f t="shared" si="7"/>
        <v>3.5000000000000003E-2</v>
      </c>
      <c r="P73" s="8" t="str">
        <f t="shared" si="9"/>
        <v/>
      </c>
      <c r="Q73" s="8">
        <f>(B73*Standards!D$15)+Q72</f>
        <v>0.99010009631679574</v>
      </c>
      <c r="R73" s="8">
        <f t="shared" si="8"/>
        <v>0.63000000000000034</v>
      </c>
      <c r="T73" s="59"/>
      <c r="U73" s="59"/>
      <c r="V73" s="59"/>
      <c r="W73" s="59"/>
      <c r="X73" s="59"/>
      <c r="Y73" s="59"/>
      <c r="Z73" s="59"/>
    </row>
    <row r="74" spans="1:26" s="8" customFormat="1" x14ac:dyDescent="0.25">
      <c r="A74" s="35">
        <v>11</v>
      </c>
      <c r="B74" s="34"/>
      <c r="C74" s="50"/>
      <c r="D74" s="51"/>
      <c r="E74" s="18"/>
      <c r="F74" s="13"/>
      <c r="G74" s="40"/>
      <c r="H74" s="6" t="str">
        <f>IF(F74="","",N74-VLOOKUP(F74,Parts!A:F,6,FALSE))</f>
        <v/>
      </c>
      <c r="I74" s="6" t="str">
        <f>IF(F74="","",IF(F74=0,"",H74-(Standards!D$14*L$5)-(Standards!D$15*K$5)))</f>
        <v/>
      </c>
      <c r="J74" s="12" t="str">
        <f>IF(F74="","",VLOOKUP(F74,Parts!A:J,10,FALSE))</f>
        <v/>
      </c>
      <c r="K74" s="12" t="str">
        <f>IF(F74="","",VLOOKUP(F74,Parts!A:N,14,FALSE))</f>
        <v/>
      </c>
      <c r="L74" s="33"/>
      <c r="M74" s="33"/>
      <c r="N74" s="8" t="str">
        <f>IF(F74="","",L$62-Q74-R74)</f>
        <v/>
      </c>
      <c r="O74" s="8">
        <f t="shared" si="7"/>
        <v>3.5000000000000003E-2</v>
      </c>
      <c r="P74" s="8" t="str">
        <f t="shared" si="9"/>
        <v/>
      </c>
      <c r="Q74" s="8">
        <f>(B74*Standards!D$15)+Q73</f>
        <v>0.99010009631679574</v>
      </c>
      <c r="R74" s="8">
        <f t="shared" si="8"/>
        <v>0.63000000000000034</v>
      </c>
      <c r="T74" s="59"/>
      <c r="U74" s="59"/>
      <c r="V74" s="59"/>
      <c r="W74" s="59"/>
      <c r="X74" s="59"/>
      <c r="Y74" s="59"/>
      <c r="Z74" s="59"/>
    </row>
    <row r="75" spans="1:26" s="8" customFormat="1" x14ac:dyDescent="0.25">
      <c r="A75" s="35">
        <v>12</v>
      </c>
      <c r="B75" s="34"/>
      <c r="C75" s="50"/>
      <c r="D75" s="52"/>
      <c r="E75" s="17"/>
      <c r="F75" s="13"/>
      <c r="G75" s="40"/>
      <c r="H75" s="6" t="str">
        <f>IF(F75="","",N75-VLOOKUP(F75,Parts!A:F,6,FALSE))</f>
        <v/>
      </c>
      <c r="I75" s="6" t="str">
        <f>IF(F75="","",IF(F75=0,"",H75-(Standards!D$14*L$5)-(Standards!D$15*K$5)))</f>
        <v/>
      </c>
      <c r="J75" s="12" t="str">
        <f>IF(F75="","",VLOOKUP(F75,Parts!A:J,10,FALSE))</f>
        <v/>
      </c>
      <c r="K75" s="12" t="str">
        <f>IF(F75="","",VLOOKUP(F75,Parts!A:N,14,FALSE))</f>
        <v/>
      </c>
      <c r="L75" s="33"/>
      <c r="M75" s="33"/>
      <c r="N75" s="8" t="str">
        <f>IF(F75="","",L$62-Q75-R75)</f>
        <v/>
      </c>
      <c r="O75" s="8">
        <f t="shared" si="7"/>
        <v>3.5000000000000003E-2</v>
      </c>
      <c r="P75" s="8" t="str">
        <f t="shared" si="9"/>
        <v/>
      </c>
      <c r="Q75" s="8">
        <f>(B75*Standards!D$15)+Q74</f>
        <v>0.99010009631679574</v>
      </c>
      <c r="R75" s="8">
        <f t="shared" si="8"/>
        <v>0.63000000000000034</v>
      </c>
      <c r="T75" s="59"/>
      <c r="U75" s="59"/>
      <c r="V75" s="59"/>
      <c r="W75" s="59"/>
      <c r="X75" s="59"/>
      <c r="Y75" s="59"/>
      <c r="Z75" s="59"/>
    </row>
    <row r="76" spans="1:26" s="8" customFormat="1" x14ac:dyDescent="0.25">
      <c r="A76" s="35">
        <v>13</v>
      </c>
      <c r="B76" s="34"/>
      <c r="C76" s="50"/>
      <c r="D76" s="53"/>
      <c r="E76" s="16"/>
      <c r="F76" s="13"/>
      <c r="G76" s="40"/>
      <c r="H76" s="6" t="str">
        <f>IF(F76="","",N76-VLOOKUP(F76,Parts!A:F,6,FALSE))</f>
        <v/>
      </c>
      <c r="I76" s="6" t="str">
        <f>IF(F76="","",IF(F76=0,"",H76-(Standards!D$14*L$5)-(Standards!D$15*K$5)))</f>
        <v/>
      </c>
      <c r="J76" s="12" t="str">
        <f>IF(F76="","",VLOOKUP(F76,Parts!A:J,10,FALSE))</f>
        <v/>
      </c>
      <c r="K76" s="12" t="str">
        <f>IF(F76="","",VLOOKUP(F76,Parts!A:N,14,FALSE))</f>
        <v/>
      </c>
      <c r="L76" s="33"/>
      <c r="M76" s="33"/>
      <c r="N76" s="8" t="str">
        <f>IF(F76="","",L$62-Q76-R76)</f>
        <v/>
      </c>
      <c r="O76" s="8">
        <f t="shared" si="7"/>
        <v>3.5000000000000003E-2</v>
      </c>
      <c r="P76" s="8" t="str">
        <f t="shared" si="9"/>
        <v/>
      </c>
      <c r="Q76" s="8">
        <f>(B76*Standards!D$15)+Q75</f>
        <v>0.99010009631679574</v>
      </c>
      <c r="R76" s="8">
        <f t="shared" si="8"/>
        <v>0.63000000000000034</v>
      </c>
      <c r="T76" s="59"/>
      <c r="U76" s="59"/>
      <c r="V76" s="59"/>
      <c r="W76" s="59"/>
      <c r="X76" s="59"/>
      <c r="Y76" s="59"/>
      <c r="Z76" s="59"/>
    </row>
  </sheetData>
  <sheetProtection algorithmName="SHA-512" hashValue="EbtLZuXviztn7UEywatsREz7t3XhvfGc3AtBtfc3hB/eshLdHpw45AE8miIORSheqXaJ27MXMrULbfufq2oPbg==" saltValue="tv1Eq05fHfnuO6+7iuXjQQ==" spinCount="100000" sheet="1" objects="1" scenarios="1" selectLockedCells="1"/>
  <mergeCells count="8">
    <mergeCell ref="A1:C1"/>
    <mergeCell ref="B2:D2"/>
    <mergeCell ref="B3:G4"/>
    <mergeCell ref="L3:L4"/>
    <mergeCell ref="A3:A4"/>
    <mergeCell ref="H3:H4"/>
    <mergeCell ref="I3:I4"/>
    <mergeCell ref="K3:K4"/>
  </mergeCells>
  <phoneticPr fontId="8" type="noConversion"/>
  <conditionalFormatting sqref="H8:H39">
    <cfRule type="containsBlanks" dxfId="68" priority="246">
      <formula>LEN(TRIM(H8))=0</formula>
    </cfRule>
  </conditionalFormatting>
  <conditionalFormatting sqref="I8:I39">
    <cfRule type="containsBlanks" dxfId="67" priority="242">
      <formula>LEN(TRIM(I8))=0</formula>
    </cfRule>
  </conditionalFormatting>
  <conditionalFormatting sqref="B6">
    <cfRule type="cellIs" dxfId="66" priority="241" operator="greaterThan">
      <formula>65000</formula>
    </cfRule>
  </conditionalFormatting>
  <conditionalFormatting sqref="H43:H60">
    <cfRule type="containsBlanks" dxfId="63" priority="11">
      <formula>LEN(TRIM(H43))=0</formula>
    </cfRule>
  </conditionalFormatting>
  <conditionalFormatting sqref="I43:I60">
    <cfRule type="containsBlanks" dxfId="62" priority="9">
      <formula>LEN(TRIM(I43))=0</formula>
    </cfRule>
  </conditionalFormatting>
  <conditionalFormatting sqref="H64:H76">
    <cfRule type="containsBlanks" dxfId="59" priority="3">
      <formula>LEN(TRIM(H64))=0</formula>
    </cfRule>
  </conditionalFormatting>
  <conditionalFormatting sqref="I64:I76">
    <cfRule type="containsBlanks" dxfId="58" priority="1">
      <formula>LEN(TRIM(I64))=0</formula>
    </cfRule>
  </conditionalFormatting>
  <dataValidations count="8">
    <dataValidation allowBlank="1" showInputMessage="1" showErrorMessage="1" errorTitle="Suspicious Value" error="Please enter span values in kilofeet!" sqref="B8:D39 B43:D60 B64:D76" xr:uid="{211DFFC0-DE3C-48F3-A809-83CCAFBEDE87}"/>
    <dataValidation type="list" allowBlank="1" showInputMessage="1" showErrorMessage="1" sqref="G8:G39 G43:G60 G64:G76" xr:uid="{5C83ADD1-B83E-4075-A3B3-8AE359BD9BFE}">
      <formula1>"No,Yes"</formula1>
    </dataValidation>
    <dataValidation type="list" allowBlank="1" showInputMessage="1" showErrorMessage="1" sqref="E2" xr:uid="{6C56DBDB-DF0D-454E-934D-DC8693E9CEFD}">
      <formula1>OLT</formula1>
    </dataValidation>
    <dataValidation type="list" allowBlank="1" showInputMessage="1" showErrorMessage="1" sqref="H5" xr:uid="{0CF2E182-0907-4988-B9F7-AE12F9CCEE69}">
      <formula1>"Direct,Spliced,APC,MPO,MPT,UPC"</formula1>
    </dataValidation>
    <dataValidation type="list" allowBlank="1" showInputMessage="1" showErrorMessage="1" sqref="G8:G39 G43:G60 G64:G76" xr:uid="{913042C4-77D0-4141-9C4C-59D58A1E28AC}">
      <formula1>"Y,N"</formula1>
    </dataValidation>
    <dataValidation type="list" allowBlank="1" showInputMessage="1" showErrorMessage="1" sqref="J5" xr:uid="{8F151969-CD53-4A6C-AFAC-F89F3B5A111A}">
      <formula1>"Average,Maximum"</formula1>
    </dataValidation>
    <dataValidation type="list" allowBlank="1" showInputMessage="1" showErrorMessage="1" sqref="J2" xr:uid="{BA7D1FF1-AA16-40C0-81EB-B7F30F42EE2A}">
      <formula1>"1x4,1x8,1x16,1x32"</formula1>
    </dataValidation>
    <dataValidation type="list" allowBlank="1" showInputMessage="1" showErrorMessage="1" sqref="F8:F39 F43:F60 F64:F76" xr:uid="{F0F6B62C-AE94-452F-BA37-D34802853665}">
      <formula1>Splits</formula1>
    </dataValidation>
  </dataValidations>
  <hyperlinks>
    <hyperlink ref="G22" location="'Splitter 1'!B43" display="Branch 1" xr:uid="{0A18A824-2ECB-4F5D-B2A0-DB30E11AD511}"/>
    <hyperlink ref="C41" location="'Splitter 1'!G22" display="^ Back to Source ^" xr:uid="{8B8CD8FF-CA18-4713-9854-AF7BAF9B08C5}"/>
    <hyperlink ref="G24" location="'Splitter 1'!B64" display="Branch 2" xr:uid="{AB0FCF08-EA2B-4278-B34C-486F4AC2ED79}"/>
    <hyperlink ref="C62" location="'Splitter 1'!G24" display="^ Back to Source ^" xr:uid="{3A805ADF-2F73-4CA7-81C0-E586EC8193B7}"/>
  </hyperlinks>
  <pageMargins left="0.25" right="0.25" top="0.75" bottom="0.75" header="0.3" footer="0.3"/>
  <pageSetup scale="55" orientation="portrait" r:id="rId1"/>
  <headerFooter>
    <oddFooter>&amp;L&amp;1#&amp;"Calibri"&amp;8&amp;K000000Sensitivity: Internal</oddFooter>
  </headerFooter>
  <drawing r:id="rId2"/>
  <legacyDrawing r:id="rId3"/>
  <controls>
    <mc:AlternateContent xmlns:mc="http://schemas.openxmlformats.org/markup-compatibility/2006">
      <mc:Choice Requires="x14">
        <control shapeId="1025" r:id="rId4" name="CommandButton1">
          <controlPr locked="0" defaultSize="0" autoLine="0" r:id="rId5">
            <anchor moveWithCells="1">
              <from>
                <xdr:col>4</xdr:col>
                <xdr:colOff>295275</xdr:colOff>
                <xdr:row>4</xdr:row>
                <xdr:rowOff>28575</xdr:rowOff>
              </from>
              <to>
                <xdr:col>5</xdr:col>
                <xdr:colOff>552450</xdr:colOff>
                <xdr:row>6</xdr:row>
                <xdr:rowOff>0</xdr:rowOff>
              </to>
            </anchor>
          </controlPr>
        </control>
      </mc:Choice>
      <mc:Fallback>
        <control shapeId="1025" r:id="rId4" name="CommandButton1"/>
      </mc:Fallback>
    </mc:AlternateContent>
    <mc:AlternateContent xmlns:mc="http://schemas.openxmlformats.org/markup-compatibility/2006">
      <mc:Choice Requires="x14">
        <control shapeId="1026" r:id="rId6" name="CommandButton2">
          <controlPr locked="0" defaultSize="0" autoLine="0" r:id="rId7">
            <anchor moveWithCells="1">
              <from>
                <xdr:col>5</xdr:col>
                <xdr:colOff>581025</xdr:colOff>
                <xdr:row>4</xdr:row>
                <xdr:rowOff>28575</xdr:rowOff>
              </from>
              <to>
                <xdr:col>7</xdr:col>
                <xdr:colOff>9525</xdr:colOff>
                <xdr:row>6</xdr:row>
                <xdr:rowOff>0</xdr:rowOff>
              </to>
            </anchor>
          </controlPr>
        </control>
      </mc:Choice>
      <mc:Fallback>
        <control shapeId="1026" r:id="rId6" name="CommandButton2"/>
      </mc:Fallback>
    </mc:AlternateContent>
    <mc:AlternateContent xmlns:mc="http://schemas.openxmlformats.org/markup-compatibility/2006">
      <mc:Choice Requires="x14">
        <control shapeId="1070" r:id="rId8" name="CommandButton3">
          <controlPr locked="0" defaultSize="0" autoLine="0" autoPict="0" r:id="rId9">
            <anchor moveWithCells="1">
              <from>
                <xdr:col>3</xdr:col>
                <xdr:colOff>66675</xdr:colOff>
                <xdr:row>4</xdr:row>
                <xdr:rowOff>28575</xdr:rowOff>
              </from>
              <to>
                <xdr:col>4</xdr:col>
                <xdr:colOff>266700</xdr:colOff>
                <xdr:row>5</xdr:row>
                <xdr:rowOff>180975</xdr:rowOff>
              </to>
            </anchor>
          </controlPr>
        </control>
      </mc:Choice>
      <mc:Fallback>
        <control shapeId="1070" r:id="rId8" name="CommandButton3"/>
      </mc:Fallback>
    </mc:AlternateContent>
    <mc:AlternateContent xmlns:mc="http://schemas.openxmlformats.org/markup-compatibility/2006">
      <mc:Choice Requires="x14">
        <control shapeId="1181" r:id="rId10" name="CommandButton4">
          <controlPr locked="0" defaultSize="0" autoLine="0" autoPict="0" r:id="rId11">
            <anchor moveWithCells="1">
              <from>
                <xdr:col>11</xdr:col>
                <xdr:colOff>19050</xdr:colOff>
                <xdr:row>5</xdr:row>
                <xdr:rowOff>76200</xdr:rowOff>
              </from>
              <to>
                <xdr:col>11</xdr:col>
                <xdr:colOff>1028700</xdr:colOff>
                <xdr:row>6</xdr:row>
                <xdr:rowOff>161925</xdr:rowOff>
              </to>
            </anchor>
          </controlPr>
        </control>
      </mc:Choice>
      <mc:Fallback>
        <control shapeId="1181" r:id="rId10" name="CommandButton4"/>
      </mc:Fallback>
    </mc:AlternateContent>
  </controls>
  <extLst>
    <ext xmlns:x14="http://schemas.microsoft.com/office/spreadsheetml/2009/9/main" uri="{78C0D931-6437-407d-A8EE-F0AAD7539E65}">
      <x14:conditionalFormattings>
        <x14:conditionalFormatting xmlns:xm="http://schemas.microsoft.com/office/excel/2006/main">
          <x14:cfRule type="cellIs" priority="247" operator="lessThan" id="{5E4999EF-1EB0-46A8-B48A-F66C164F3B5C}">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H8:H39</xm:sqref>
        </x14:conditionalFormatting>
        <x14:conditionalFormatting xmlns:xm="http://schemas.microsoft.com/office/excel/2006/main">
          <x14:cfRule type="cellIs" priority="243" operator="notBetween" id="{7BB15A5A-0CE6-4143-BFC4-AE529D1E0CAA}">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I8:I39</xm:sqref>
        </x14:conditionalFormatting>
        <x14:conditionalFormatting xmlns:xm="http://schemas.microsoft.com/office/excel/2006/main">
          <x14:cfRule type="cellIs" priority="12" operator="lessThan" id="{D8A05A3C-9D36-4A19-985A-51FB1ECB3D39}">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H43:H60</xm:sqref>
        </x14:conditionalFormatting>
        <x14:conditionalFormatting xmlns:xm="http://schemas.microsoft.com/office/excel/2006/main">
          <x14:cfRule type="cellIs" priority="10" operator="notBetween" id="{9534D205-F75D-477D-BBA5-0920121AA78A}">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I43:I60</xm:sqref>
        </x14:conditionalFormatting>
        <x14:conditionalFormatting xmlns:xm="http://schemas.microsoft.com/office/excel/2006/main">
          <x14:cfRule type="cellIs" priority="4" operator="lessThan" id="{60D91E61-AF5F-481D-9423-383DD8C8CD51}">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H64:H76</xm:sqref>
        </x14:conditionalFormatting>
        <x14:conditionalFormatting xmlns:xm="http://schemas.microsoft.com/office/excel/2006/main">
          <x14:cfRule type="cellIs" priority="2" operator="notBetween" id="{545E6DCA-35AF-4239-A889-6C6477643B89}">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I64:I76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230B3506-786F-496D-AC5F-FE2E4A68D9D0}">
          <x14:formula1>
            <xm:f>Standards!$B$46:$B$52</xm:f>
          </x14:formula1>
          <xm:sqref>E9:E39 E44:E60 E65:E76</xm:sqref>
        </x14:dataValidation>
        <x14:dataValidation type="list" allowBlank="1" showInputMessage="1" showErrorMessage="1" xr:uid="{93C8B99A-87AA-4004-9AD3-E8A2EC47B6FC}">
          <x14:formula1>
            <xm:f>Standards!$B$46:$B$53</xm:f>
          </x14:formula1>
          <xm:sqref>E8 E43 E64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C2B10-FD95-4D81-9EFA-F2BA472E59E1}">
  <sheetPr>
    <pageSetUpPr fitToPage="1"/>
  </sheetPr>
  <dimension ref="A1:G1"/>
  <sheetViews>
    <sheetView showGridLines="0" zoomScale="85" zoomScaleNormal="85" workbookViewId="0">
      <selection activeCell="L25" sqref="L25:M25"/>
    </sheetView>
  </sheetViews>
  <sheetFormatPr defaultRowHeight="15" customHeight="1" x14ac:dyDescent="0.25"/>
  <sheetData>
    <row r="1" spans="1:7" s="10" customFormat="1" ht="30" customHeight="1" x14ac:dyDescent="0.3">
      <c r="A1" s="10" t="s">
        <v>135</v>
      </c>
      <c r="B1" s="10" t="s">
        <v>167</v>
      </c>
      <c r="F1" s="10" t="s">
        <v>199</v>
      </c>
      <c r="G1" s="10">
        <v>88</v>
      </c>
    </row>
  </sheetData>
  <pageMargins left="0.25" right="0.25" top="0.75" bottom="0.75" header="0.3" footer="0.3"/>
  <pageSetup scale="45" orientation="portrait" r:id="rId1"/>
  <headerFooter>
    <oddFooter>&amp;L&amp;1#&amp;"Calibri"&amp;8&amp;K000000Sensitivity: Internal</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DEF49-AC2C-4C89-B9D0-86111BE0DD86}">
  <sheetPr codeName="Sheet11"/>
  <dimension ref="A1:Z39"/>
  <sheetViews>
    <sheetView showGridLines="0" workbookViewId="0">
      <pane ySplit="7" topLeftCell="A8" activePane="bottomLeft" state="frozen"/>
      <selection pane="bottomLeft" activeCell="B2" sqref="B2:D2"/>
    </sheetView>
  </sheetViews>
  <sheetFormatPr defaultRowHeight="15" x14ac:dyDescent="0.25"/>
  <cols>
    <col min="1" max="1" width="10.42578125" customWidth="1"/>
    <col min="2" max="2" width="10.85546875" style="22" customWidth="1"/>
    <col min="3" max="3" width="15.140625" style="22" customWidth="1"/>
    <col min="4" max="4" width="8.85546875" style="9" bestFit="1" customWidth="1"/>
    <col min="5" max="5" width="10.42578125" bestFit="1" customWidth="1"/>
    <col min="6" max="6" width="9.5703125" customWidth="1"/>
    <col min="7" max="7" width="11.28515625" bestFit="1" customWidth="1"/>
    <col min="8" max="8" width="13.28515625" customWidth="1"/>
    <col min="9" max="9" width="12.140625" customWidth="1"/>
    <col min="10" max="10" width="13.28515625" style="7" bestFit="1" customWidth="1"/>
    <col min="11" max="11" width="19.7109375" customWidth="1"/>
    <col min="12" max="12" width="16.28515625" customWidth="1"/>
    <col min="13" max="13" width="14.7109375" bestFit="1" customWidth="1"/>
    <col min="14" max="14" width="9.5703125" style="7" hidden="1" customWidth="1"/>
    <col min="15" max="15" width="9" style="8" hidden="1" customWidth="1"/>
    <col min="16" max="16" width="8.28515625" style="8" hidden="1" customWidth="1"/>
    <col min="17" max="18" width="16.5703125" style="8" hidden="1" customWidth="1"/>
    <col min="19" max="19" width="8.42578125" style="8" hidden="1" customWidth="1"/>
    <col min="20" max="26" width="9.140625" style="59"/>
  </cols>
  <sheetData>
    <row r="1" spans="1:26" ht="62.25" customHeight="1" x14ac:dyDescent="0.3">
      <c r="A1" s="75" t="s">
        <v>125</v>
      </c>
      <c r="B1" s="76"/>
      <c r="C1" s="77"/>
      <c r="D1" s="49"/>
      <c r="E1" s="24" t="s">
        <v>126</v>
      </c>
      <c r="F1" s="24" t="s">
        <v>127</v>
      </c>
      <c r="G1" s="24" t="s">
        <v>128</v>
      </c>
      <c r="H1" s="24" t="s">
        <v>129</v>
      </c>
      <c r="I1" s="24" t="s">
        <v>130</v>
      </c>
      <c r="J1" s="24" t="s">
        <v>131</v>
      </c>
      <c r="K1" s="24" t="s">
        <v>132</v>
      </c>
      <c r="L1" s="24" t="s">
        <v>133</v>
      </c>
      <c r="M1" s="24" t="s">
        <v>134</v>
      </c>
      <c r="O1" s="7"/>
      <c r="P1" s="7"/>
      <c r="Q1" s="7"/>
      <c r="R1" s="7"/>
    </row>
    <row r="2" spans="1:26" ht="18" customHeight="1" x14ac:dyDescent="0.25">
      <c r="A2" s="29" t="s">
        <v>135</v>
      </c>
      <c r="B2" s="78"/>
      <c r="C2" s="79"/>
      <c r="D2" s="80"/>
      <c r="E2" s="26" t="s">
        <v>57</v>
      </c>
      <c r="F2" s="28">
        <f>VLOOKUP(E2,Standards!B3:C7,2,FALSE)</f>
        <v>3.25</v>
      </c>
      <c r="G2" s="25">
        <v>1</v>
      </c>
      <c r="H2" s="42"/>
      <c r="I2" s="41"/>
      <c r="J2" s="32" t="s">
        <v>79</v>
      </c>
      <c r="K2" s="32">
        <v>2</v>
      </c>
      <c r="L2" s="38">
        <f>F2-(G2*Standards!D14)-(H2*Standards!D13)-(I2*Standards!D15)-VLOOKUP(J2,LS_Loss,2,FALSE)-(VLOOKUP(H5,Losses,3,FALSE)*I5)</f>
        <v>-9.85</v>
      </c>
      <c r="M2" s="37" t="s">
        <v>136</v>
      </c>
      <c r="O2" s="7"/>
      <c r="P2" s="7"/>
      <c r="Q2" s="7"/>
      <c r="R2" s="7"/>
    </row>
    <row r="3" spans="1:26" s="4" customFormat="1" ht="15" customHeight="1" x14ac:dyDescent="0.25">
      <c r="A3" s="88" t="s">
        <v>137</v>
      </c>
      <c r="B3" s="81"/>
      <c r="C3" s="82"/>
      <c r="D3" s="82"/>
      <c r="E3" s="82"/>
      <c r="F3" s="82"/>
      <c r="G3" s="83"/>
      <c r="H3" s="88" t="s">
        <v>138</v>
      </c>
      <c r="I3" s="88" t="s">
        <v>166</v>
      </c>
      <c r="J3" s="44"/>
      <c r="K3" s="87" t="s">
        <v>140</v>
      </c>
      <c r="L3" s="87" t="s">
        <v>141</v>
      </c>
      <c r="M3" s="14" t="s">
        <v>142</v>
      </c>
      <c r="T3" s="60"/>
      <c r="U3" s="60"/>
      <c r="V3" s="60"/>
      <c r="W3" s="60"/>
      <c r="X3" s="60"/>
      <c r="Y3" s="60"/>
      <c r="Z3" s="60"/>
    </row>
    <row r="4" spans="1:26" s="4" customFormat="1" ht="15" customHeight="1" x14ac:dyDescent="0.25">
      <c r="A4" s="88"/>
      <c r="B4" s="84"/>
      <c r="C4" s="85"/>
      <c r="D4" s="85"/>
      <c r="E4" s="85"/>
      <c r="F4" s="85"/>
      <c r="G4" s="86"/>
      <c r="H4" s="88"/>
      <c r="I4" s="89"/>
      <c r="J4" s="45" t="s">
        <v>143</v>
      </c>
      <c r="K4" s="87"/>
      <c r="L4" s="87"/>
      <c r="M4" s="12" t="s">
        <v>144</v>
      </c>
      <c r="T4" s="60"/>
      <c r="U4" s="60"/>
      <c r="V4" s="60"/>
      <c r="W4" s="60"/>
      <c r="X4" s="60"/>
      <c r="Y4" s="60"/>
      <c r="Z4" s="60"/>
    </row>
    <row r="5" spans="1:26" x14ac:dyDescent="0.25">
      <c r="A5" s="5"/>
      <c r="B5" s="46" t="s">
        <v>145</v>
      </c>
      <c r="C5" s="47" t="s">
        <v>146</v>
      </c>
      <c r="D5"/>
      <c r="H5" s="48" t="s">
        <v>71</v>
      </c>
      <c r="I5" s="43">
        <v>0</v>
      </c>
      <c r="J5" s="43" t="s">
        <v>108</v>
      </c>
      <c r="K5" s="43">
        <v>1500</v>
      </c>
      <c r="L5" s="43">
        <v>2</v>
      </c>
      <c r="M5" s="24" t="s">
        <v>147</v>
      </c>
      <c r="N5" s="4"/>
      <c r="O5" s="4"/>
      <c r="P5" s="4"/>
      <c r="Q5" s="7"/>
      <c r="R5" s="7"/>
    </row>
    <row r="6" spans="1:26" x14ac:dyDescent="0.25">
      <c r="A6" s="29" t="s">
        <v>148</v>
      </c>
      <c r="B6" s="30">
        <f>SUM(B8:B39)</f>
        <v>0</v>
      </c>
      <c r="C6" s="31">
        <f>SUM(F8:F39)</f>
        <v>0</v>
      </c>
      <c r="D6"/>
      <c r="E6" s="7"/>
      <c r="I6" s="7"/>
      <c r="J6"/>
      <c r="M6" s="27">
        <v>1</v>
      </c>
      <c r="N6" s="4"/>
      <c r="O6" s="4"/>
      <c r="P6" s="4"/>
      <c r="Q6" s="8" t="s">
        <v>149</v>
      </c>
      <c r="R6" s="8" t="s">
        <v>150</v>
      </c>
    </row>
    <row r="7" spans="1:26" s="7" customFormat="1" ht="40.5" customHeight="1" x14ac:dyDescent="0.25">
      <c r="A7" s="20" t="s">
        <v>151</v>
      </c>
      <c r="B7" s="21" t="s">
        <v>152</v>
      </c>
      <c r="C7" s="21" t="s">
        <v>153</v>
      </c>
      <c r="D7" s="19" t="s">
        <v>154</v>
      </c>
      <c r="E7" s="19" t="s">
        <v>155</v>
      </c>
      <c r="F7" s="19" t="s">
        <v>156</v>
      </c>
      <c r="G7" s="19" t="s">
        <v>157</v>
      </c>
      <c r="H7" s="19" t="s">
        <v>158</v>
      </c>
      <c r="I7" s="19" t="s">
        <v>159</v>
      </c>
      <c r="J7" s="19" t="s">
        <v>87</v>
      </c>
      <c r="K7" s="20" t="s">
        <v>160</v>
      </c>
      <c r="L7" s="19" t="s">
        <v>161</v>
      </c>
      <c r="M7" s="20" t="s">
        <v>162</v>
      </c>
      <c r="N7" s="8" t="s">
        <v>163</v>
      </c>
      <c r="O7" s="8" t="s">
        <v>164</v>
      </c>
      <c r="P7" s="8" t="s">
        <v>165</v>
      </c>
      <c r="Q7" s="7">
        <v>0</v>
      </c>
      <c r="R7" s="7">
        <v>0</v>
      </c>
      <c r="S7" s="36"/>
      <c r="T7" s="61"/>
      <c r="U7" s="61"/>
      <c r="V7" s="61"/>
      <c r="W7" s="61"/>
      <c r="X7" s="61"/>
      <c r="Y7" s="61"/>
      <c r="Z7" s="61"/>
    </row>
    <row r="8" spans="1:26" x14ac:dyDescent="0.25">
      <c r="A8" s="35">
        <v>1</v>
      </c>
      <c r="B8" s="34"/>
      <c r="C8" s="50"/>
      <c r="D8" s="51"/>
      <c r="E8" s="18"/>
      <c r="F8" s="13"/>
      <c r="G8" s="40"/>
      <c r="H8" s="6" t="str">
        <f>IF(F8="","",N8-VLOOKUP(F8,Parts!A:F,6,FALSE))</f>
        <v/>
      </c>
      <c r="I8" s="6" t="str">
        <f>IF(F8="","",IF(F8=0,"",H8-(Standards!D$14*L$5)-(Standards!D$15*K$5)))</f>
        <v/>
      </c>
      <c r="J8" s="12" t="str">
        <f>IF(F8="","",VLOOKUP(F8,Parts!A:J,10,FALSE))</f>
        <v/>
      </c>
      <c r="K8" s="12" t="str">
        <f>IF(F8="","",VLOOKUP(F8,Parts!A:N,14,FALSE))</f>
        <v/>
      </c>
      <c r="L8" s="33"/>
      <c r="M8" s="33"/>
      <c r="N8" s="8" t="str">
        <f t="shared" ref="N8:N39" si="0">IF(F8="","",L$2-Q8-R8)</f>
        <v/>
      </c>
      <c r="O8" s="8">
        <f t="shared" ref="O8:O39" si="1">VLOOKUP(H$5,Losses,3,FALSE)</f>
        <v>3.5000000000000003E-2</v>
      </c>
      <c r="P8" s="8" t="str">
        <f>IF(F8="","",N8-O8)</f>
        <v/>
      </c>
      <c r="Q8" s="8">
        <f>(B8*Standards!D$15)+Q7</f>
        <v>0</v>
      </c>
      <c r="R8" s="8">
        <f t="shared" ref="R8:R39" si="2">IF(F8&lt;&gt;"",VLOOKUP(H$5,Losses,3,FALSE)+R7,R7)</f>
        <v>0</v>
      </c>
    </row>
    <row r="9" spans="1:26" x14ac:dyDescent="0.25">
      <c r="A9" s="35">
        <v>2</v>
      </c>
      <c r="B9" s="34"/>
      <c r="C9" s="50"/>
      <c r="D9" s="51"/>
      <c r="E9" s="16"/>
      <c r="F9" s="13"/>
      <c r="G9" s="55"/>
      <c r="H9" s="6" t="str">
        <f>IF(F9="","",N9-VLOOKUP(F9,Parts!A:F,6,FALSE))</f>
        <v/>
      </c>
      <c r="I9" s="6" t="str">
        <f>IF(F9="","",IF(F9=0,"",H9-(Standards!D$14*L$5)-(Standards!D$15*K$5)))</f>
        <v/>
      </c>
      <c r="J9" s="12" t="str">
        <f>IF(F9="","",VLOOKUP(F9,Parts!A:J,10,FALSE))</f>
        <v/>
      </c>
      <c r="K9" s="12" t="str">
        <f>IF(F9="","",VLOOKUP(F9,Parts!A:N,14,FALSE))</f>
        <v/>
      </c>
      <c r="L9" s="33"/>
      <c r="M9" s="33"/>
      <c r="N9" s="8" t="str">
        <f t="shared" si="0"/>
        <v/>
      </c>
      <c r="O9" s="8">
        <f t="shared" si="1"/>
        <v>3.5000000000000003E-2</v>
      </c>
      <c r="P9" s="8" t="str">
        <f t="shared" ref="P9:P39" si="3">IF(F9="","",N9-O9)</f>
        <v/>
      </c>
      <c r="Q9" s="8">
        <f>(B9*Standards!D$15)+Q8</f>
        <v>0</v>
      </c>
      <c r="R9" s="8">
        <f t="shared" si="2"/>
        <v>0</v>
      </c>
    </row>
    <row r="10" spans="1:26" x14ac:dyDescent="0.25">
      <c r="A10" s="35">
        <v>3</v>
      </c>
      <c r="B10" s="34"/>
      <c r="C10" s="50"/>
      <c r="D10" s="51"/>
      <c r="E10" s="17"/>
      <c r="F10" s="13"/>
      <c r="G10" s="40"/>
      <c r="H10" s="6" t="str">
        <f>IF(F10="","",N10-VLOOKUP(F10,Parts!A:F,6,FALSE))</f>
        <v/>
      </c>
      <c r="I10" s="6" t="str">
        <f>IF(F10="","",IF(F10=0,"",H10-(Standards!D$14*L$5)-(Standards!D$15*K$5)))</f>
        <v/>
      </c>
      <c r="J10" s="12" t="str">
        <f>IF(F10="","",VLOOKUP(F10,Parts!A:J,10,FALSE))</f>
        <v/>
      </c>
      <c r="K10" s="12" t="str">
        <f>IF(F10="","",VLOOKUP(F10,Parts!A:N,14,FALSE))</f>
        <v/>
      </c>
      <c r="L10" s="33"/>
      <c r="M10" s="33"/>
      <c r="N10" s="8" t="str">
        <f t="shared" si="0"/>
        <v/>
      </c>
      <c r="O10" s="8">
        <f t="shared" si="1"/>
        <v>3.5000000000000003E-2</v>
      </c>
      <c r="P10" s="8" t="str">
        <f t="shared" si="3"/>
        <v/>
      </c>
      <c r="Q10" s="8">
        <f>(B10*Standards!D$15)+Q9</f>
        <v>0</v>
      </c>
      <c r="R10" s="8">
        <f t="shared" si="2"/>
        <v>0</v>
      </c>
    </row>
    <row r="11" spans="1:26" x14ac:dyDescent="0.25">
      <c r="A11" s="35">
        <v>4</v>
      </c>
      <c r="B11" s="34"/>
      <c r="C11" s="50"/>
      <c r="D11" s="51"/>
      <c r="E11" s="16"/>
      <c r="F11" s="13"/>
      <c r="G11" s="56"/>
      <c r="H11" s="6" t="str">
        <f>IF(F11="","",N11-VLOOKUP(F11,Parts!A:F,6,FALSE))</f>
        <v/>
      </c>
      <c r="I11" s="6" t="str">
        <f>IF(F11="","",IF(F11=0,"",H11-(Standards!D$14*L$5)-(Standards!D$15*K$5)))</f>
        <v/>
      </c>
      <c r="J11" s="12" t="str">
        <f>IF(F11="","",VLOOKUP(F11,Parts!A:J,10,FALSE))</f>
        <v/>
      </c>
      <c r="K11" s="12" t="str">
        <f>IF(F11="","",VLOOKUP(F11,Parts!A:N,14,FALSE))</f>
        <v/>
      </c>
      <c r="L11" s="33"/>
      <c r="M11" s="33"/>
      <c r="N11" s="8" t="str">
        <f t="shared" si="0"/>
        <v/>
      </c>
      <c r="O11" s="8">
        <f t="shared" si="1"/>
        <v>3.5000000000000003E-2</v>
      </c>
      <c r="P11" s="8" t="str">
        <f t="shared" si="3"/>
        <v/>
      </c>
      <c r="Q11" s="8">
        <f>(B11*Standards!D$15)+Q10</f>
        <v>0</v>
      </c>
      <c r="R11" s="8">
        <f t="shared" si="2"/>
        <v>0</v>
      </c>
    </row>
    <row r="12" spans="1:26" x14ac:dyDescent="0.25">
      <c r="A12" s="35">
        <v>5</v>
      </c>
      <c r="B12" s="34"/>
      <c r="C12" s="50"/>
      <c r="D12" s="51"/>
      <c r="E12" s="16"/>
      <c r="F12" s="13"/>
      <c r="G12" s="55"/>
      <c r="H12" s="6" t="str">
        <f>IF(F12="","",N12-VLOOKUP(F12,Parts!A:F,6,FALSE))</f>
        <v/>
      </c>
      <c r="I12" s="6" t="str">
        <f>IF(F12="","",IF(F12=0,"",H12-(Standards!D$14*L$5)-(Standards!D$15*K$5)))</f>
        <v/>
      </c>
      <c r="J12" s="12" t="str">
        <f>IF(F12="","",VLOOKUP(F12,Parts!A:J,10,FALSE))</f>
        <v/>
      </c>
      <c r="K12" s="12" t="str">
        <f>IF(F12="","",VLOOKUP(F12,Parts!A:N,14,FALSE))</f>
        <v/>
      </c>
      <c r="L12" s="33"/>
      <c r="M12" s="33"/>
      <c r="N12" s="8" t="str">
        <f t="shared" si="0"/>
        <v/>
      </c>
      <c r="O12" s="8">
        <f t="shared" si="1"/>
        <v>3.5000000000000003E-2</v>
      </c>
      <c r="P12" s="8" t="str">
        <f t="shared" si="3"/>
        <v/>
      </c>
      <c r="Q12" s="8">
        <f>(B12*Standards!D$15)+Q11</f>
        <v>0</v>
      </c>
      <c r="R12" s="8">
        <f t="shared" si="2"/>
        <v>0</v>
      </c>
    </row>
    <row r="13" spans="1:26" x14ac:dyDescent="0.25">
      <c r="A13" s="35">
        <v>6</v>
      </c>
      <c r="B13" s="34"/>
      <c r="C13" s="50"/>
      <c r="D13" s="51"/>
      <c r="E13" s="16"/>
      <c r="F13" s="13"/>
      <c r="G13" s="56"/>
      <c r="H13" s="6" t="str">
        <f>IF(F13="","",N13-VLOOKUP(F13,Parts!A:F,6,FALSE))</f>
        <v/>
      </c>
      <c r="I13" s="6" t="str">
        <f>IF(F13="","",IF(F13=0,"",H13-(Standards!D$14*L$5)-(Standards!D$15*K$5)))</f>
        <v/>
      </c>
      <c r="J13" s="12" t="str">
        <f>IF(F13="","",VLOOKUP(F13,Parts!A:J,10,FALSE))</f>
        <v/>
      </c>
      <c r="K13" s="12" t="str">
        <f>IF(F13="","",VLOOKUP(F13,Parts!A:N,14,FALSE))</f>
        <v/>
      </c>
      <c r="L13" s="33"/>
      <c r="M13" s="33"/>
      <c r="N13" s="8" t="str">
        <f t="shared" si="0"/>
        <v/>
      </c>
      <c r="O13" s="8">
        <f t="shared" si="1"/>
        <v>3.5000000000000003E-2</v>
      </c>
      <c r="P13" s="8" t="str">
        <f t="shared" si="3"/>
        <v/>
      </c>
      <c r="Q13" s="8">
        <f>(B13*Standards!D$15)+Q12</f>
        <v>0</v>
      </c>
      <c r="R13" s="8">
        <f t="shared" si="2"/>
        <v>0</v>
      </c>
    </row>
    <row r="14" spans="1:26" x14ac:dyDescent="0.25">
      <c r="A14" s="35">
        <v>7</v>
      </c>
      <c r="B14" s="34"/>
      <c r="C14" s="50"/>
      <c r="D14" s="51"/>
      <c r="E14" s="16"/>
      <c r="F14" s="13"/>
      <c r="G14" s="56"/>
      <c r="H14" s="6" t="str">
        <f>IF(F14="","",N14-VLOOKUP(F14,Parts!A:F,6,FALSE))</f>
        <v/>
      </c>
      <c r="I14" s="6" t="str">
        <f>IF(F14="","",IF(F14=0,"",H14-(Standards!D$14*L$5)-(Standards!D$15*K$5)))</f>
        <v/>
      </c>
      <c r="J14" s="12" t="str">
        <f>IF(F14="","",VLOOKUP(F14,Parts!A:J,10,FALSE))</f>
        <v/>
      </c>
      <c r="K14" s="12" t="str">
        <f>IF(F14="","",VLOOKUP(F14,Parts!A:N,14,FALSE))</f>
        <v/>
      </c>
      <c r="L14" s="33"/>
      <c r="M14" s="33"/>
      <c r="N14" s="8" t="str">
        <f t="shared" si="0"/>
        <v/>
      </c>
      <c r="O14" s="8">
        <f t="shared" si="1"/>
        <v>3.5000000000000003E-2</v>
      </c>
      <c r="P14" s="8" t="str">
        <f t="shared" si="3"/>
        <v/>
      </c>
      <c r="Q14" s="8">
        <f>(B14*Standards!D$15)+Q13</f>
        <v>0</v>
      </c>
      <c r="R14" s="8">
        <f t="shared" si="2"/>
        <v>0</v>
      </c>
    </row>
    <row r="15" spans="1:26" x14ac:dyDescent="0.25">
      <c r="A15" s="35">
        <v>8</v>
      </c>
      <c r="B15" s="34"/>
      <c r="C15" s="50"/>
      <c r="D15" s="51"/>
      <c r="E15" s="16"/>
      <c r="F15" s="13"/>
      <c r="G15" s="40"/>
      <c r="H15" s="6" t="str">
        <f>IF(F15="","",N15-VLOOKUP(F15,Parts!A:F,6,FALSE))</f>
        <v/>
      </c>
      <c r="I15" s="6" t="str">
        <f>IF(F15="","",IF(F15=0,"",H15-(Standards!D$14*L$5)-(Standards!D$15*K$5)))</f>
        <v/>
      </c>
      <c r="J15" s="12" t="str">
        <f>IF(F15="","",VLOOKUP(F15,Parts!A:J,10,FALSE))</f>
        <v/>
      </c>
      <c r="K15" s="12" t="str">
        <f>IF(F15="","",VLOOKUP(F15,Parts!A:N,14,FALSE))</f>
        <v/>
      </c>
      <c r="L15" s="33"/>
      <c r="M15" s="33"/>
      <c r="N15" s="8" t="str">
        <f t="shared" si="0"/>
        <v/>
      </c>
      <c r="O15" s="8">
        <f t="shared" si="1"/>
        <v>3.5000000000000003E-2</v>
      </c>
      <c r="P15" s="8" t="str">
        <f t="shared" si="3"/>
        <v/>
      </c>
      <c r="Q15" s="8">
        <f>(B15*Standards!D$15)+Q14</f>
        <v>0</v>
      </c>
      <c r="R15" s="8">
        <f t="shared" si="2"/>
        <v>0</v>
      </c>
    </row>
    <row r="16" spans="1:26" x14ac:dyDescent="0.25">
      <c r="A16" s="35">
        <v>9</v>
      </c>
      <c r="B16" s="34"/>
      <c r="C16" s="50"/>
      <c r="D16" s="52"/>
      <c r="E16" s="17"/>
      <c r="F16" s="13"/>
      <c r="G16" s="40"/>
      <c r="H16" s="6" t="str">
        <f>IF(F16="","",N16-VLOOKUP(F16,Parts!A:F,6,FALSE))</f>
        <v/>
      </c>
      <c r="I16" s="6" t="str">
        <f>IF(F16="","",IF(F16=0,"",H16-(Standards!D$14*L$5)-(Standards!D$15*K$5)))</f>
        <v/>
      </c>
      <c r="J16" s="12" t="str">
        <f>IF(F16="","",VLOOKUP(F16,Parts!A:J,10,FALSE))</f>
        <v/>
      </c>
      <c r="K16" s="12" t="str">
        <f>IF(F16="","",VLOOKUP(F16,Parts!A:N,14,FALSE))</f>
        <v/>
      </c>
      <c r="L16" s="33"/>
      <c r="M16" s="33"/>
      <c r="N16" s="8" t="str">
        <f t="shared" si="0"/>
        <v/>
      </c>
      <c r="O16" s="8">
        <f t="shared" si="1"/>
        <v>3.5000000000000003E-2</v>
      </c>
      <c r="P16" s="8" t="str">
        <f t="shared" si="3"/>
        <v/>
      </c>
      <c r="Q16" s="8">
        <f>(B16*Standards!D$15)+Q15</f>
        <v>0</v>
      </c>
      <c r="R16" s="8">
        <f t="shared" si="2"/>
        <v>0</v>
      </c>
    </row>
    <row r="17" spans="1:26" s="8" customFormat="1" x14ac:dyDescent="0.25">
      <c r="A17" s="35">
        <v>10</v>
      </c>
      <c r="B17" s="34"/>
      <c r="C17" s="50"/>
      <c r="D17" s="52"/>
      <c r="E17" s="17"/>
      <c r="F17" s="13"/>
      <c r="G17" s="40"/>
      <c r="H17" s="6" t="str">
        <f>IF(F17="","",N17-VLOOKUP(F17,Parts!A:F,6,FALSE))</f>
        <v/>
      </c>
      <c r="I17" s="6" t="str">
        <f>IF(F17="","",IF(F17=0,"",H17-(Standards!D$14*L$5)-(Standards!D$15*K$5)))</f>
        <v/>
      </c>
      <c r="J17" s="12" t="str">
        <f>IF(F17="","",VLOOKUP(F17,Parts!A:J,10,FALSE))</f>
        <v/>
      </c>
      <c r="K17" s="12" t="str">
        <f>IF(F17="","",VLOOKUP(F17,Parts!A:N,14,FALSE))</f>
        <v/>
      </c>
      <c r="L17" s="33"/>
      <c r="M17" s="33"/>
      <c r="N17" s="8" t="str">
        <f t="shared" si="0"/>
        <v/>
      </c>
      <c r="O17" s="8">
        <f t="shared" si="1"/>
        <v>3.5000000000000003E-2</v>
      </c>
      <c r="P17" s="8" t="str">
        <f t="shared" si="3"/>
        <v/>
      </c>
      <c r="Q17" s="8">
        <f>(B17*Standards!D$15)+Q16</f>
        <v>0</v>
      </c>
      <c r="R17" s="8">
        <f t="shared" si="2"/>
        <v>0</v>
      </c>
      <c r="T17" s="59"/>
      <c r="U17" s="59"/>
      <c r="V17" s="59"/>
      <c r="W17" s="59"/>
      <c r="X17" s="59"/>
      <c r="Y17" s="59"/>
      <c r="Z17" s="59"/>
    </row>
    <row r="18" spans="1:26" s="8" customFormat="1" x14ac:dyDescent="0.25">
      <c r="A18" s="35">
        <v>11</v>
      </c>
      <c r="B18" s="34"/>
      <c r="C18" s="50"/>
      <c r="D18" s="51"/>
      <c r="E18" s="18"/>
      <c r="F18" s="13"/>
      <c r="G18" s="40"/>
      <c r="H18" s="6" t="str">
        <f>IF(F18="","",N18-VLOOKUP(F18,Parts!A:F,6,FALSE))</f>
        <v/>
      </c>
      <c r="I18" s="6" t="str">
        <f>IF(F18="","",IF(F18=0,"",H18-(Standards!D$14*L$5)-(Standards!D$15*K$5)))</f>
        <v/>
      </c>
      <c r="J18" s="12" t="str">
        <f>IF(F18="","",VLOOKUP(F18,Parts!A:J,10,FALSE))</f>
        <v/>
      </c>
      <c r="K18" s="12" t="str">
        <f>IF(F18="","",VLOOKUP(F18,Parts!A:N,14,FALSE))</f>
        <v/>
      </c>
      <c r="L18" s="33"/>
      <c r="M18" s="33"/>
      <c r="N18" s="8" t="str">
        <f t="shared" si="0"/>
        <v/>
      </c>
      <c r="O18" s="8">
        <f t="shared" si="1"/>
        <v>3.5000000000000003E-2</v>
      </c>
      <c r="P18" s="8" t="str">
        <f t="shared" si="3"/>
        <v/>
      </c>
      <c r="Q18" s="8">
        <f>(B18*Standards!D$15)+Q17</f>
        <v>0</v>
      </c>
      <c r="R18" s="8">
        <f t="shared" si="2"/>
        <v>0</v>
      </c>
      <c r="T18" s="59"/>
      <c r="U18" s="59"/>
      <c r="V18" s="59"/>
      <c r="W18" s="59"/>
      <c r="X18" s="59"/>
      <c r="Y18" s="59"/>
      <c r="Z18" s="59"/>
    </row>
    <row r="19" spans="1:26" s="8" customFormat="1" x14ac:dyDescent="0.25">
      <c r="A19" s="35">
        <v>12</v>
      </c>
      <c r="B19" s="34"/>
      <c r="C19" s="50"/>
      <c r="D19" s="52"/>
      <c r="E19" s="17"/>
      <c r="F19" s="13"/>
      <c r="G19" s="40"/>
      <c r="H19" s="6" t="str">
        <f>IF(F19="","",N19-VLOOKUP(F19,Parts!A:F,6,FALSE))</f>
        <v/>
      </c>
      <c r="I19" s="6" t="str">
        <f>IF(F19="","",IF(F19=0,"",H19-(Standards!D$14*L$5)-(Standards!D$15*K$5)))</f>
        <v/>
      </c>
      <c r="J19" s="12" t="str">
        <f>IF(F19="","",VLOOKUP(F19,Parts!A:J,10,FALSE))</f>
        <v/>
      </c>
      <c r="K19" s="12" t="str">
        <f>IF(F19="","",VLOOKUP(F19,Parts!A:N,14,FALSE))</f>
        <v/>
      </c>
      <c r="L19" s="33"/>
      <c r="M19" s="33"/>
      <c r="N19" s="8" t="str">
        <f t="shared" si="0"/>
        <v/>
      </c>
      <c r="O19" s="8">
        <f t="shared" si="1"/>
        <v>3.5000000000000003E-2</v>
      </c>
      <c r="P19" s="8" t="str">
        <f t="shared" si="3"/>
        <v/>
      </c>
      <c r="Q19" s="8">
        <f>(B19*Standards!D$15)+Q18</f>
        <v>0</v>
      </c>
      <c r="R19" s="8">
        <f t="shared" si="2"/>
        <v>0</v>
      </c>
      <c r="T19" s="59"/>
      <c r="U19" s="59"/>
      <c r="V19" s="59"/>
      <c r="W19" s="59"/>
      <c r="X19" s="59"/>
      <c r="Y19" s="59"/>
      <c r="Z19" s="59"/>
    </row>
    <row r="20" spans="1:26" s="8" customFormat="1" x14ac:dyDescent="0.25">
      <c r="A20" s="35">
        <v>13</v>
      </c>
      <c r="B20" s="34"/>
      <c r="C20" s="50"/>
      <c r="D20" s="53"/>
      <c r="E20" s="16"/>
      <c r="F20" s="13"/>
      <c r="G20" s="40"/>
      <c r="H20" s="6" t="str">
        <f>IF(F20="","",N20-VLOOKUP(F20,Parts!A:F,6,FALSE))</f>
        <v/>
      </c>
      <c r="I20" s="6" t="str">
        <f>IF(F20="","",IF(F20=0,"",H20-(Standards!D$14*L$5)-(Standards!D$15*K$5)))</f>
        <v/>
      </c>
      <c r="J20" s="12" t="str">
        <f>IF(F20="","",VLOOKUP(F20,Parts!A:J,10,FALSE))</f>
        <v/>
      </c>
      <c r="K20" s="12" t="str">
        <f>IF(F20="","",VLOOKUP(F20,Parts!A:N,14,FALSE))</f>
        <v/>
      </c>
      <c r="L20" s="33"/>
      <c r="M20" s="33"/>
      <c r="N20" s="8" t="str">
        <f t="shared" si="0"/>
        <v/>
      </c>
      <c r="O20" s="8">
        <f t="shared" si="1"/>
        <v>3.5000000000000003E-2</v>
      </c>
      <c r="P20" s="8" t="str">
        <f t="shared" si="3"/>
        <v/>
      </c>
      <c r="Q20" s="8">
        <f>(B20*Standards!D$15)+Q19</f>
        <v>0</v>
      </c>
      <c r="R20" s="8">
        <f t="shared" si="2"/>
        <v>0</v>
      </c>
      <c r="T20" s="59"/>
      <c r="U20" s="59"/>
      <c r="V20" s="59"/>
      <c r="W20" s="59"/>
      <c r="X20" s="59"/>
      <c r="Y20" s="59"/>
      <c r="Z20" s="59"/>
    </row>
    <row r="21" spans="1:26" s="8" customFormat="1" x14ac:dyDescent="0.25">
      <c r="A21" s="35">
        <v>14</v>
      </c>
      <c r="B21" s="34"/>
      <c r="C21" s="50"/>
      <c r="D21" s="53"/>
      <c r="E21" s="16"/>
      <c r="F21" s="13"/>
      <c r="G21" s="40"/>
      <c r="H21" s="6" t="str">
        <f>IF(F21="","",N21-VLOOKUP(F21,Parts!A:F,6,FALSE))</f>
        <v/>
      </c>
      <c r="I21" s="6" t="str">
        <f>IF(F21="","",IF(F21=0,"",H21-(Standards!D$14*L$5)-(Standards!D$15*K$5)))</f>
        <v/>
      </c>
      <c r="J21" s="12" t="str">
        <f>IF(F21="","",VLOOKUP(F21,Parts!A:J,10,FALSE))</f>
        <v/>
      </c>
      <c r="K21" s="12" t="str">
        <f>IF(F21="","",VLOOKUP(F21,Parts!A:N,14,FALSE))</f>
        <v/>
      </c>
      <c r="L21" s="33"/>
      <c r="M21" s="33"/>
      <c r="N21" s="8" t="str">
        <f t="shared" si="0"/>
        <v/>
      </c>
      <c r="O21" s="8">
        <f t="shared" si="1"/>
        <v>3.5000000000000003E-2</v>
      </c>
      <c r="P21" s="8" t="str">
        <f t="shared" si="3"/>
        <v/>
      </c>
      <c r="Q21" s="8">
        <f>(B21*Standards!D$15)+Q20</f>
        <v>0</v>
      </c>
      <c r="R21" s="8">
        <f t="shared" si="2"/>
        <v>0</v>
      </c>
      <c r="T21" s="59"/>
      <c r="U21" s="59"/>
      <c r="V21" s="59"/>
      <c r="W21" s="59"/>
      <c r="X21" s="59"/>
      <c r="Y21" s="59"/>
      <c r="Z21" s="59"/>
    </row>
    <row r="22" spans="1:26" s="8" customFormat="1" x14ac:dyDescent="0.25">
      <c r="A22" s="35">
        <v>15</v>
      </c>
      <c r="B22" s="34"/>
      <c r="C22" s="50"/>
      <c r="D22" s="53"/>
      <c r="E22" s="16"/>
      <c r="F22" s="13"/>
      <c r="G22" s="40"/>
      <c r="H22" s="6" t="str">
        <f>IF(F22="","",N22-VLOOKUP(F22,Parts!A:F,6,FALSE))</f>
        <v/>
      </c>
      <c r="I22" s="6" t="str">
        <f>IF(F22="","",IF(F22=0,"",H22-(Standards!D$14*L$5)-(Standards!D$15*K$5)))</f>
        <v/>
      </c>
      <c r="J22" s="12" t="str">
        <f>IF(F22="","",VLOOKUP(F22,Parts!A:J,10,FALSE))</f>
        <v/>
      </c>
      <c r="K22" s="12" t="str">
        <f>IF(F22="","",VLOOKUP(F22,Parts!A:N,14,FALSE))</f>
        <v/>
      </c>
      <c r="L22" s="33"/>
      <c r="M22" s="33"/>
      <c r="N22" s="8" t="str">
        <f t="shared" si="0"/>
        <v/>
      </c>
      <c r="O22" s="8">
        <f t="shared" si="1"/>
        <v>3.5000000000000003E-2</v>
      </c>
      <c r="P22" s="8" t="str">
        <f t="shared" si="3"/>
        <v/>
      </c>
      <c r="Q22" s="8">
        <f>(B22*Standards!D$15)+Q21</f>
        <v>0</v>
      </c>
      <c r="R22" s="8">
        <f t="shared" si="2"/>
        <v>0</v>
      </c>
      <c r="T22" s="59"/>
      <c r="U22" s="59"/>
      <c r="V22" s="59"/>
      <c r="W22" s="59"/>
      <c r="X22" s="59"/>
      <c r="Y22" s="59"/>
      <c r="Z22" s="59"/>
    </row>
    <row r="23" spans="1:26" s="8" customFormat="1" x14ac:dyDescent="0.25">
      <c r="A23" s="35">
        <v>16</v>
      </c>
      <c r="B23" s="34"/>
      <c r="C23" s="50"/>
      <c r="D23" s="53"/>
      <c r="E23" s="16"/>
      <c r="F23" s="13"/>
      <c r="G23" s="40"/>
      <c r="H23" s="6" t="str">
        <f>IF(F23="","",N23-VLOOKUP(F23,Parts!A:F,6,FALSE))</f>
        <v/>
      </c>
      <c r="I23" s="6" t="str">
        <f>IF(F23="","",IF(F23=0,"",H23-(Standards!D$14*L$5)-(Standards!D$15*K$5)))</f>
        <v/>
      </c>
      <c r="J23" s="12" t="str">
        <f>IF(F23="","",VLOOKUP(F23,Parts!A:J,10,FALSE))</f>
        <v/>
      </c>
      <c r="K23" s="12" t="str">
        <f>IF(F23="","",VLOOKUP(F23,Parts!A:N,14,FALSE))</f>
        <v/>
      </c>
      <c r="L23" s="33"/>
      <c r="M23" s="33"/>
      <c r="N23" s="8" t="str">
        <f t="shared" si="0"/>
        <v/>
      </c>
      <c r="O23" s="8">
        <f t="shared" si="1"/>
        <v>3.5000000000000003E-2</v>
      </c>
      <c r="P23" s="8" t="str">
        <f t="shared" si="3"/>
        <v/>
      </c>
      <c r="Q23" s="8">
        <f>(B23*Standards!D$15)+Q22</f>
        <v>0</v>
      </c>
      <c r="R23" s="8">
        <f t="shared" si="2"/>
        <v>0</v>
      </c>
      <c r="T23" s="59"/>
      <c r="U23" s="59"/>
      <c r="V23" s="59"/>
      <c r="W23" s="59"/>
      <c r="X23" s="59"/>
      <c r="Y23" s="59"/>
      <c r="Z23" s="59"/>
    </row>
    <row r="24" spans="1:26" s="8" customFormat="1" x14ac:dyDescent="0.25">
      <c r="A24" s="35">
        <v>17</v>
      </c>
      <c r="B24" s="34"/>
      <c r="C24" s="50"/>
      <c r="D24" s="53"/>
      <c r="E24" s="16"/>
      <c r="F24" s="13"/>
      <c r="G24" s="40"/>
      <c r="H24" s="6" t="str">
        <f>IF(F24="","",N24-VLOOKUP(F24,Parts!A:F,6,FALSE))</f>
        <v/>
      </c>
      <c r="I24" s="6" t="str">
        <f>IF(F24="","",IF(F24=0,"",H24-(Standards!D$14*L$5)-(Standards!D$15*K$5)))</f>
        <v/>
      </c>
      <c r="J24" s="12" t="str">
        <f>IF(F24="","",VLOOKUP(F24,Parts!A:J,10,FALSE))</f>
        <v/>
      </c>
      <c r="K24" s="12" t="str">
        <f>IF(F24="","",VLOOKUP(F24,Parts!A:N,14,FALSE))</f>
        <v/>
      </c>
      <c r="L24" s="33"/>
      <c r="M24" s="33"/>
      <c r="N24" s="8" t="str">
        <f t="shared" si="0"/>
        <v/>
      </c>
      <c r="O24" s="8">
        <f t="shared" si="1"/>
        <v>3.5000000000000003E-2</v>
      </c>
      <c r="P24" s="8" t="str">
        <f t="shared" si="3"/>
        <v/>
      </c>
      <c r="Q24" s="8">
        <f>(B24*Standards!D$15)+Q23</f>
        <v>0</v>
      </c>
      <c r="R24" s="8">
        <f t="shared" si="2"/>
        <v>0</v>
      </c>
      <c r="T24" s="59"/>
      <c r="U24" s="59"/>
      <c r="V24" s="59"/>
      <c r="W24" s="59"/>
      <c r="X24" s="59"/>
      <c r="Y24" s="59"/>
      <c r="Z24" s="59"/>
    </row>
    <row r="25" spans="1:26" s="8" customFormat="1" x14ac:dyDescent="0.25">
      <c r="A25" s="35">
        <v>18</v>
      </c>
      <c r="B25" s="34"/>
      <c r="C25" s="50"/>
      <c r="D25" s="53"/>
      <c r="E25" s="16"/>
      <c r="F25" s="13"/>
      <c r="G25" s="40"/>
      <c r="H25" s="6" t="str">
        <f>IF(F25="","",N25-VLOOKUP(F25,Parts!A:F,6,FALSE))</f>
        <v/>
      </c>
      <c r="I25" s="6" t="str">
        <f>IF(F25="","",IF(F25=0,"",H25-(Standards!D$14*L$5)-(Standards!D$15*K$5)))</f>
        <v/>
      </c>
      <c r="J25" s="12" t="str">
        <f>IF(F25="","",VLOOKUP(F25,Parts!A:J,10,FALSE))</f>
        <v/>
      </c>
      <c r="K25" s="12" t="str">
        <f>IF(F25="","",VLOOKUP(F25,Parts!A:N,14,FALSE))</f>
        <v/>
      </c>
      <c r="L25" s="33"/>
      <c r="M25" s="33"/>
      <c r="N25" s="8" t="str">
        <f t="shared" si="0"/>
        <v/>
      </c>
      <c r="O25" s="8">
        <f t="shared" si="1"/>
        <v>3.5000000000000003E-2</v>
      </c>
      <c r="P25" s="8" t="str">
        <f t="shared" si="3"/>
        <v/>
      </c>
      <c r="Q25" s="8">
        <f>(B25*Standards!D$15)+Q24</f>
        <v>0</v>
      </c>
      <c r="R25" s="8">
        <f t="shared" si="2"/>
        <v>0</v>
      </c>
      <c r="T25" s="59"/>
      <c r="U25" s="59"/>
      <c r="V25" s="59"/>
      <c r="W25" s="59"/>
      <c r="X25" s="59"/>
      <c r="Y25" s="59"/>
      <c r="Z25" s="59"/>
    </row>
    <row r="26" spans="1:26" s="8" customFormat="1" x14ac:dyDescent="0.25">
      <c r="A26" s="35">
        <v>19</v>
      </c>
      <c r="B26" s="34"/>
      <c r="C26" s="50"/>
      <c r="D26" s="53"/>
      <c r="E26" s="16"/>
      <c r="F26" s="13"/>
      <c r="G26" s="40"/>
      <c r="H26" s="6" t="str">
        <f>IF(F26="","",N26-VLOOKUP(F26,Parts!A:F,6,FALSE))</f>
        <v/>
      </c>
      <c r="I26" s="6" t="str">
        <f>IF(F26="","",IF(F26=0,"",H26-(Standards!D$14*L$5)-(Standards!D$15*K$5)))</f>
        <v/>
      </c>
      <c r="J26" s="12" t="str">
        <f>IF(F26="","",VLOOKUP(F26,Parts!A:J,10,FALSE))</f>
        <v/>
      </c>
      <c r="K26" s="12" t="str">
        <f>IF(F26="","",VLOOKUP(F26,Parts!A:N,14,FALSE))</f>
        <v/>
      </c>
      <c r="L26" s="33"/>
      <c r="M26" s="33"/>
      <c r="N26" s="8" t="str">
        <f t="shared" si="0"/>
        <v/>
      </c>
      <c r="O26" s="8">
        <f t="shared" si="1"/>
        <v>3.5000000000000003E-2</v>
      </c>
      <c r="P26" s="8" t="str">
        <f t="shared" si="3"/>
        <v/>
      </c>
      <c r="Q26" s="8">
        <f>(B26*Standards!D$15)+Q25</f>
        <v>0</v>
      </c>
      <c r="R26" s="8">
        <f t="shared" si="2"/>
        <v>0</v>
      </c>
      <c r="T26" s="59"/>
      <c r="U26" s="59"/>
      <c r="V26" s="59"/>
      <c r="W26" s="59"/>
      <c r="X26" s="59"/>
      <c r="Y26" s="59"/>
      <c r="Z26" s="59"/>
    </row>
    <row r="27" spans="1:26" s="8" customFormat="1" x14ac:dyDescent="0.25">
      <c r="A27" s="35">
        <v>20</v>
      </c>
      <c r="B27" s="34"/>
      <c r="C27" s="50"/>
      <c r="D27" s="53"/>
      <c r="E27" s="16"/>
      <c r="F27" s="13"/>
      <c r="G27" s="40"/>
      <c r="H27" s="6" t="str">
        <f>IF(F27="","",N27-VLOOKUP(F27,Parts!A:F,6,FALSE))</f>
        <v/>
      </c>
      <c r="I27" s="6" t="str">
        <f>IF(F27="","",IF(F27=0,"",H27-(Standards!D$14*L$5)-(Standards!D$15*K$5)))</f>
        <v/>
      </c>
      <c r="J27" s="12" t="str">
        <f>IF(F27="","",VLOOKUP(F27,Parts!A:J,10,FALSE))</f>
        <v/>
      </c>
      <c r="K27" s="12" t="str">
        <f>IF(F27="","",VLOOKUP(F27,Parts!A:N,14,FALSE))</f>
        <v/>
      </c>
      <c r="L27" s="33"/>
      <c r="M27" s="33"/>
      <c r="N27" s="8" t="str">
        <f t="shared" si="0"/>
        <v/>
      </c>
      <c r="O27" s="8">
        <f t="shared" si="1"/>
        <v>3.5000000000000003E-2</v>
      </c>
      <c r="P27" s="8" t="str">
        <f t="shared" si="3"/>
        <v/>
      </c>
      <c r="Q27" s="8">
        <f>(B27*Standards!D$15)+Q26</f>
        <v>0</v>
      </c>
      <c r="R27" s="8">
        <f t="shared" si="2"/>
        <v>0</v>
      </c>
      <c r="T27" s="59"/>
      <c r="U27" s="59"/>
      <c r="V27" s="59"/>
      <c r="W27" s="59"/>
      <c r="X27" s="59"/>
      <c r="Y27" s="59"/>
      <c r="Z27" s="59"/>
    </row>
    <row r="28" spans="1:26" s="8" customFormat="1" x14ac:dyDescent="0.25">
      <c r="A28" s="35">
        <v>21</v>
      </c>
      <c r="B28" s="34"/>
      <c r="C28" s="50"/>
      <c r="D28" s="53"/>
      <c r="E28" s="16"/>
      <c r="F28" s="13"/>
      <c r="G28" s="40"/>
      <c r="H28" s="6" t="str">
        <f>IF(F28="","",N28-VLOOKUP(F28,Parts!A:F,6,FALSE))</f>
        <v/>
      </c>
      <c r="I28" s="6" t="str">
        <f>IF(F28="","",IF(F28=0,"",H28-(Standards!D$14*L$5)-(Standards!D$15*K$5)))</f>
        <v/>
      </c>
      <c r="J28" s="12" t="str">
        <f>IF(F28="","",VLOOKUP(F28,Parts!A:J,10,FALSE))</f>
        <v/>
      </c>
      <c r="K28" s="12" t="str">
        <f>IF(F28="","",VLOOKUP(F28,Parts!A:N,14,FALSE))</f>
        <v/>
      </c>
      <c r="L28" s="33"/>
      <c r="M28" s="33"/>
      <c r="N28" s="8" t="str">
        <f t="shared" si="0"/>
        <v/>
      </c>
      <c r="O28" s="8">
        <f t="shared" si="1"/>
        <v>3.5000000000000003E-2</v>
      </c>
      <c r="P28" s="8" t="str">
        <f t="shared" si="3"/>
        <v/>
      </c>
      <c r="Q28" s="8">
        <f>(B28*Standards!D$15)+Q27</f>
        <v>0</v>
      </c>
      <c r="R28" s="8">
        <f t="shared" si="2"/>
        <v>0</v>
      </c>
      <c r="T28" s="59"/>
      <c r="U28" s="59"/>
      <c r="V28" s="59"/>
      <c r="W28" s="59"/>
      <c r="X28" s="59"/>
      <c r="Y28" s="59"/>
      <c r="Z28" s="59"/>
    </row>
    <row r="29" spans="1:26" s="8" customFormat="1" x14ac:dyDescent="0.25">
      <c r="A29" s="35">
        <v>22</v>
      </c>
      <c r="B29" s="34"/>
      <c r="C29" s="50"/>
      <c r="D29" s="53"/>
      <c r="E29" s="16"/>
      <c r="F29" s="13"/>
      <c r="G29" s="40"/>
      <c r="H29" s="6" t="str">
        <f>IF(F29="","",N29-VLOOKUP(F29,Parts!A:F,6,FALSE))</f>
        <v/>
      </c>
      <c r="I29" s="6" t="str">
        <f>IF(F29="","",IF(F29=0,"",H29-(Standards!D$14*L$5)-(Standards!D$15*K$5)))</f>
        <v/>
      </c>
      <c r="J29" s="12" t="str">
        <f>IF(F29="","",VLOOKUP(F29,Parts!A:J,10,FALSE))</f>
        <v/>
      </c>
      <c r="K29" s="12" t="str">
        <f>IF(F29="","",VLOOKUP(F29,Parts!A:N,14,FALSE))</f>
        <v/>
      </c>
      <c r="L29" s="33"/>
      <c r="M29" s="33"/>
      <c r="N29" s="8" t="str">
        <f t="shared" si="0"/>
        <v/>
      </c>
      <c r="O29" s="8">
        <f t="shared" si="1"/>
        <v>3.5000000000000003E-2</v>
      </c>
      <c r="P29" s="8" t="str">
        <f t="shared" si="3"/>
        <v/>
      </c>
      <c r="Q29" s="8">
        <f>(B29*Standards!D$15)+Q28</f>
        <v>0</v>
      </c>
      <c r="R29" s="8">
        <f t="shared" si="2"/>
        <v>0</v>
      </c>
      <c r="T29" s="59"/>
      <c r="U29" s="59"/>
      <c r="V29" s="59"/>
      <c r="W29" s="59"/>
      <c r="X29" s="59"/>
      <c r="Y29" s="59"/>
      <c r="Z29" s="59"/>
    </row>
    <row r="30" spans="1:26" s="8" customFormat="1" x14ac:dyDescent="0.25">
      <c r="A30" s="35">
        <v>23</v>
      </c>
      <c r="B30" s="34"/>
      <c r="C30" s="50"/>
      <c r="D30" s="53"/>
      <c r="E30" s="16"/>
      <c r="F30" s="13"/>
      <c r="G30" s="40"/>
      <c r="H30" s="6" t="str">
        <f>IF(F30="","",N30-VLOOKUP(F30,Parts!A:F,6,FALSE))</f>
        <v/>
      </c>
      <c r="I30" s="6" t="str">
        <f>IF(F30="","",IF(F30=0,"",H30-(Standards!D$14*L$5)-(Standards!D$15*K$5)))</f>
        <v/>
      </c>
      <c r="J30" s="12" t="str">
        <f>IF(F30="","",VLOOKUP(F30,Parts!A:J,10,FALSE))</f>
        <v/>
      </c>
      <c r="K30" s="12" t="str">
        <f>IF(F30="","",VLOOKUP(F30,Parts!A:N,14,FALSE))</f>
        <v/>
      </c>
      <c r="L30" s="33"/>
      <c r="M30" s="33"/>
      <c r="N30" s="8" t="str">
        <f t="shared" si="0"/>
        <v/>
      </c>
      <c r="O30" s="8">
        <f t="shared" si="1"/>
        <v>3.5000000000000003E-2</v>
      </c>
      <c r="P30" s="8" t="str">
        <f t="shared" si="3"/>
        <v/>
      </c>
      <c r="Q30" s="8">
        <f>(B30*Standards!D$15)+Q29</f>
        <v>0</v>
      </c>
      <c r="R30" s="8">
        <f t="shared" si="2"/>
        <v>0</v>
      </c>
      <c r="T30" s="59"/>
      <c r="U30" s="59"/>
      <c r="V30" s="59"/>
      <c r="W30" s="59"/>
      <c r="X30" s="59"/>
      <c r="Y30" s="59"/>
      <c r="Z30" s="59"/>
    </row>
    <row r="31" spans="1:26" s="8" customFormat="1" x14ac:dyDescent="0.25">
      <c r="A31" s="35">
        <v>24</v>
      </c>
      <c r="B31" s="34"/>
      <c r="C31" s="50"/>
      <c r="D31" s="53"/>
      <c r="E31" s="16"/>
      <c r="F31" s="13"/>
      <c r="G31" s="40"/>
      <c r="H31" s="6" t="str">
        <f>IF(F31="","",N31-VLOOKUP(F31,Parts!A:F,6,FALSE))</f>
        <v/>
      </c>
      <c r="I31" s="6" t="str">
        <f>IF(F31="","",IF(F31=0,"",H31-(Standards!D$14*L$5)-(Standards!D$15*K$5)))</f>
        <v/>
      </c>
      <c r="J31" s="12" t="str">
        <f>IF(F31="","",VLOOKUP(F31,Parts!A:J,10,FALSE))</f>
        <v/>
      </c>
      <c r="K31" s="12" t="str">
        <f>IF(F31="","",VLOOKUP(F31,Parts!A:N,14,FALSE))</f>
        <v/>
      </c>
      <c r="L31" s="33"/>
      <c r="M31" s="33"/>
      <c r="N31" s="8" t="str">
        <f t="shared" si="0"/>
        <v/>
      </c>
      <c r="O31" s="8">
        <f t="shared" si="1"/>
        <v>3.5000000000000003E-2</v>
      </c>
      <c r="P31" s="8" t="str">
        <f t="shared" si="3"/>
        <v/>
      </c>
      <c r="Q31" s="8">
        <f>(B31*Standards!D$15)+Q30</f>
        <v>0</v>
      </c>
      <c r="R31" s="8">
        <f t="shared" si="2"/>
        <v>0</v>
      </c>
      <c r="T31" s="59"/>
      <c r="U31" s="59"/>
      <c r="V31" s="59"/>
      <c r="W31" s="59"/>
      <c r="X31" s="59"/>
      <c r="Y31" s="59"/>
      <c r="Z31" s="59"/>
    </row>
    <row r="32" spans="1:26" s="8" customFormat="1" x14ac:dyDescent="0.25">
      <c r="A32" s="35">
        <v>25</v>
      </c>
      <c r="B32" s="34"/>
      <c r="C32" s="50"/>
      <c r="D32" s="53"/>
      <c r="E32" s="16"/>
      <c r="F32" s="13"/>
      <c r="G32" s="40"/>
      <c r="H32" s="6" t="str">
        <f>IF(F32="","",N32-VLOOKUP(F32,Parts!A:F,6,FALSE))</f>
        <v/>
      </c>
      <c r="I32" s="6" t="str">
        <f>IF(F32="","",IF(F32=0,"",H32-(Standards!D$14*L$5)-(Standards!D$15*K$5)))</f>
        <v/>
      </c>
      <c r="J32" s="12" t="str">
        <f>IF(F32="","",VLOOKUP(F32,Parts!A:J,10,FALSE))</f>
        <v/>
      </c>
      <c r="K32" s="12" t="str">
        <f>IF(F32="","",VLOOKUP(F32,Parts!A:N,14,FALSE))</f>
        <v/>
      </c>
      <c r="L32" s="33"/>
      <c r="M32" s="33"/>
      <c r="N32" s="8" t="str">
        <f t="shared" si="0"/>
        <v/>
      </c>
      <c r="O32" s="8">
        <f t="shared" si="1"/>
        <v>3.5000000000000003E-2</v>
      </c>
      <c r="P32" s="8" t="str">
        <f t="shared" si="3"/>
        <v/>
      </c>
      <c r="Q32" s="8">
        <f>(B32*Standards!D$15)+Q31</f>
        <v>0</v>
      </c>
      <c r="R32" s="8">
        <f t="shared" si="2"/>
        <v>0</v>
      </c>
      <c r="T32" s="59"/>
      <c r="U32" s="59"/>
      <c r="V32" s="59"/>
      <c r="W32" s="59"/>
      <c r="X32" s="59"/>
      <c r="Y32" s="59"/>
      <c r="Z32" s="59"/>
    </row>
    <row r="33" spans="1:26" s="8" customFormat="1" x14ac:dyDescent="0.25">
      <c r="A33" s="35">
        <v>26</v>
      </c>
      <c r="B33" s="34"/>
      <c r="C33" s="50"/>
      <c r="D33" s="53"/>
      <c r="E33" s="16"/>
      <c r="F33" s="13"/>
      <c r="G33" s="40"/>
      <c r="H33" s="6" t="str">
        <f>IF(F33="","",N33-VLOOKUP(F33,Parts!A:F,6,FALSE))</f>
        <v/>
      </c>
      <c r="I33" s="6" t="str">
        <f>IF(F33="","",IF(F33=0,"",H33-(Standards!D$14*L$5)-(Standards!D$15*K$5)))</f>
        <v/>
      </c>
      <c r="J33" s="12" t="str">
        <f>IF(F33="","",VLOOKUP(F33,Parts!A:J,10,FALSE))</f>
        <v/>
      </c>
      <c r="K33" s="12" t="str">
        <f>IF(F33="","",VLOOKUP(F33,Parts!A:N,14,FALSE))</f>
        <v/>
      </c>
      <c r="L33" s="33"/>
      <c r="M33" s="33"/>
      <c r="N33" s="8" t="str">
        <f t="shared" si="0"/>
        <v/>
      </c>
      <c r="O33" s="8">
        <f t="shared" si="1"/>
        <v>3.5000000000000003E-2</v>
      </c>
      <c r="P33" s="8" t="str">
        <f t="shared" si="3"/>
        <v/>
      </c>
      <c r="Q33" s="8">
        <f>(B33*Standards!D$15)+Q32</f>
        <v>0</v>
      </c>
      <c r="R33" s="8">
        <f t="shared" si="2"/>
        <v>0</v>
      </c>
      <c r="T33" s="59"/>
      <c r="U33" s="59"/>
      <c r="V33" s="59"/>
      <c r="W33" s="59"/>
      <c r="X33" s="59"/>
      <c r="Y33" s="59"/>
      <c r="Z33" s="59"/>
    </row>
    <row r="34" spans="1:26" s="8" customFormat="1" x14ac:dyDescent="0.25">
      <c r="A34" s="35">
        <v>27</v>
      </c>
      <c r="B34" s="34"/>
      <c r="C34" s="50"/>
      <c r="D34" s="53"/>
      <c r="E34" s="16"/>
      <c r="F34" s="13"/>
      <c r="G34" s="40"/>
      <c r="H34" s="6" t="str">
        <f>IF(F34="","",N34-VLOOKUP(F34,Parts!A:F,6,FALSE))</f>
        <v/>
      </c>
      <c r="I34" s="6" t="str">
        <f>IF(F34="","",IF(F34=0,"",H34-(Standards!D$14*L$5)-(Standards!D$15*K$5)))</f>
        <v/>
      </c>
      <c r="J34" s="12" t="str">
        <f>IF(F34="","",VLOOKUP(F34,Parts!A:J,10,FALSE))</f>
        <v/>
      </c>
      <c r="K34" s="12" t="str">
        <f>IF(F34="","",VLOOKUP(F34,Parts!A:N,14,FALSE))</f>
        <v/>
      </c>
      <c r="L34" s="33"/>
      <c r="M34" s="33"/>
      <c r="N34" s="8" t="str">
        <f t="shared" si="0"/>
        <v/>
      </c>
      <c r="O34" s="8">
        <f t="shared" si="1"/>
        <v>3.5000000000000003E-2</v>
      </c>
      <c r="P34" s="8" t="str">
        <f t="shared" si="3"/>
        <v/>
      </c>
      <c r="Q34" s="8">
        <f>(B34*Standards!D$15)+Q33</f>
        <v>0</v>
      </c>
      <c r="R34" s="8">
        <f t="shared" si="2"/>
        <v>0</v>
      </c>
      <c r="T34" s="59"/>
      <c r="U34" s="59"/>
      <c r="V34" s="59"/>
      <c r="W34" s="59"/>
      <c r="X34" s="59"/>
      <c r="Y34" s="59"/>
      <c r="Z34" s="59"/>
    </row>
    <row r="35" spans="1:26" s="8" customFormat="1" x14ac:dyDescent="0.25">
      <c r="A35" s="35">
        <v>28</v>
      </c>
      <c r="B35" s="34"/>
      <c r="C35" s="50"/>
      <c r="D35" s="53"/>
      <c r="E35" s="16"/>
      <c r="F35" s="13"/>
      <c r="G35" s="40"/>
      <c r="H35" s="6" t="str">
        <f>IF(F35="","",N35-VLOOKUP(F35,Parts!A:F,6,FALSE))</f>
        <v/>
      </c>
      <c r="I35" s="6" t="str">
        <f>IF(F35="","",IF(F35=0,"",H35-(Standards!D$14*L$5)-(Standards!D$15*K$5)))</f>
        <v/>
      </c>
      <c r="J35" s="12" t="str">
        <f>IF(F35="","",VLOOKUP(F35,Parts!A:J,10,FALSE))</f>
        <v/>
      </c>
      <c r="K35" s="12" t="str">
        <f>IF(F35="","",VLOOKUP(F35,Parts!A:N,14,FALSE))</f>
        <v/>
      </c>
      <c r="L35" s="33"/>
      <c r="M35" s="33"/>
      <c r="N35" s="8" t="str">
        <f t="shared" si="0"/>
        <v/>
      </c>
      <c r="O35" s="8">
        <f t="shared" si="1"/>
        <v>3.5000000000000003E-2</v>
      </c>
      <c r="P35" s="8" t="str">
        <f t="shared" si="3"/>
        <v/>
      </c>
      <c r="Q35" s="8">
        <f>(B35*Standards!D$15)+Q34</f>
        <v>0</v>
      </c>
      <c r="R35" s="8">
        <f t="shared" si="2"/>
        <v>0</v>
      </c>
      <c r="T35" s="59"/>
      <c r="U35" s="59"/>
      <c r="V35" s="59"/>
      <c r="W35" s="59"/>
      <c r="X35" s="59"/>
      <c r="Y35" s="59"/>
      <c r="Z35" s="59"/>
    </row>
    <row r="36" spans="1:26" s="8" customFormat="1" x14ac:dyDescent="0.25">
      <c r="A36" s="35">
        <v>29</v>
      </c>
      <c r="B36" s="34"/>
      <c r="C36" s="50"/>
      <c r="D36" s="53"/>
      <c r="E36" s="16"/>
      <c r="F36" s="13"/>
      <c r="G36" s="40"/>
      <c r="H36" s="6" t="str">
        <f>IF(F36="","",N36-VLOOKUP(F36,Parts!A:F,6,FALSE))</f>
        <v/>
      </c>
      <c r="I36" s="6" t="str">
        <f>IF(F36="","",IF(F36=0,"",H36-(Standards!D$14*L$5)-(Standards!D$15*K$5)))</f>
        <v/>
      </c>
      <c r="J36" s="12" t="str">
        <f>IF(F36="","",VLOOKUP(F36,Parts!A:J,10,FALSE))</f>
        <v/>
      </c>
      <c r="K36" s="12" t="str">
        <f>IF(F36="","",VLOOKUP(F36,Parts!A:N,14,FALSE))</f>
        <v/>
      </c>
      <c r="L36" s="33"/>
      <c r="M36" s="33"/>
      <c r="N36" s="8" t="str">
        <f t="shared" si="0"/>
        <v/>
      </c>
      <c r="O36" s="8">
        <f t="shared" si="1"/>
        <v>3.5000000000000003E-2</v>
      </c>
      <c r="P36" s="8" t="str">
        <f t="shared" si="3"/>
        <v/>
      </c>
      <c r="Q36" s="8">
        <f>(B36*Standards!D$15)+Q35</f>
        <v>0</v>
      </c>
      <c r="R36" s="8">
        <f t="shared" si="2"/>
        <v>0</v>
      </c>
      <c r="T36" s="59"/>
      <c r="U36" s="59"/>
      <c r="V36" s="59"/>
      <c r="W36" s="59"/>
      <c r="X36" s="59"/>
      <c r="Y36" s="59"/>
      <c r="Z36" s="59"/>
    </row>
    <row r="37" spans="1:26" s="8" customFormat="1" x14ac:dyDescent="0.25">
      <c r="A37" s="35">
        <v>30</v>
      </c>
      <c r="B37" s="34"/>
      <c r="C37" s="50"/>
      <c r="D37" s="53"/>
      <c r="E37" s="16"/>
      <c r="F37" s="13"/>
      <c r="G37" s="40"/>
      <c r="H37" s="6" t="str">
        <f>IF(F37="","",N37-VLOOKUP(F37,Parts!A:F,6,FALSE))</f>
        <v/>
      </c>
      <c r="I37" s="6" t="str">
        <f>IF(F37="","",IF(F37=0,"",H37-(Standards!D$14*L$5)-(Standards!D$15*K$5)))</f>
        <v/>
      </c>
      <c r="J37" s="12" t="str">
        <f>IF(F37="","",VLOOKUP(F37,Parts!A:J,10,FALSE))</f>
        <v/>
      </c>
      <c r="K37" s="12" t="str">
        <f>IF(F37="","",VLOOKUP(F37,Parts!A:N,14,FALSE))</f>
        <v/>
      </c>
      <c r="L37" s="33"/>
      <c r="M37" s="33"/>
      <c r="N37" s="8" t="str">
        <f t="shared" si="0"/>
        <v/>
      </c>
      <c r="O37" s="8">
        <f t="shared" si="1"/>
        <v>3.5000000000000003E-2</v>
      </c>
      <c r="P37" s="8" t="str">
        <f t="shared" si="3"/>
        <v/>
      </c>
      <c r="Q37" s="8">
        <f>(B37*Standards!D$15)+Q36</f>
        <v>0</v>
      </c>
      <c r="R37" s="8">
        <f t="shared" si="2"/>
        <v>0</v>
      </c>
      <c r="T37" s="59"/>
      <c r="U37" s="59"/>
      <c r="V37" s="59"/>
      <c r="W37" s="59"/>
      <c r="X37" s="59"/>
      <c r="Y37" s="59"/>
      <c r="Z37" s="59"/>
    </row>
    <row r="38" spans="1:26" s="8" customFormat="1" x14ac:dyDescent="0.25">
      <c r="A38" s="35">
        <v>31</v>
      </c>
      <c r="B38" s="34"/>
      <c r="C38" s="50"/>
      <c r="D38" s="53"/>
      <c r="E38" s="16"/>
      <c r="F38" s="13"/>
      <c r="G38" s="40"/>
      <c r="H38" s="6" t="str">
        <f>IF(F38="","",N38-VLOOKUP(F38,Parts!A:F,6,FALSE))</f>
        <v/>
      </c>
      <c r="I38" s="6" t="str">
        <f>IF(F38="","",IF(F38=0,"",H38-(Standards!D$14*L$5)-(Standards!D$15*K$5)))</f>
        <v/>
      </c>
      <c r="J38" s="12" t="str">
        <f>IF(F38="","",VLOOKUP(F38,Parts!A:J,10,FALSE))</f>
        <v/>
      </c>
      <c r="K38" s="12" t="str">
        <f>IF(F38="","",VLOOKUP(F38,Parts!A:N,14,FALSE))</f>
        <v/>
      </c>
      <c r="L38" s="33"/>
      <c r="M38" s="33"/>
      <c r="N38" s="8" t="str">
        <f t="shared" si="0"/>
        <v/>
      </c>
      <c r="O38" s="8">
        <f t="shared" si="1"/>
        <v>3.5000000000000003E-2</v>
      </c>
      <c r="P38" s="8" t="str">
        <f t="shared" si="3"/>
        <v/>
      </c>
      <c r="Q38" s="8">
        <f>(B38*Standards!D$15)+Q37</f>
        <v>0</v>
      </c>
      <c r="R38" s="8">
        <f t="shared" si="2"/>
        <v>0</v>
      </c>
      <c r="T38" s="59"/>
      <c r="U38" s="59"/>
      <c r="V38" s="59"/>
      <c r="W38" s="59"/>
      <c r="X38" s="59"/>
      <c r="Y38" s="59"/>
      <c r="Z38" s="59"/>
    </row>
    <row r="39" spans="1:26" s="8" customFormat="1" x14ac:dyDescent="0.25">
      <c r="A39" s="35">
        <v>32</v>
      </c>
      <c r="B39" s="34"/>
      <c r="C39" s="50"/>
      <c r="D39" s="53"/>
      <c r="E39" s="16"/>
      <c r="F39" s="13"/>
      <c r="G39" s="40"/>
      <c r="H39" s="6" t="str">
        <f>IF(F39="","",N39-VLOOKUP(F39,Parts!A:F,6,FALSE))</f>
        <v/>
      </c>
      <c r="I39" s="6" t="str">
        <f>IF(F39="","",IF(F39=0,"",H39-(Standards!D$14*L$5)-(Standards!D$15*K$5)))</f>
        <v/>
      </c>
      <c r="J39" s="12" t="str">
        <f>IF(F39="","",VLOOKUP(F39,Parts!A:J,10,FALSE))</f>
        <v/>
      </c>
      <c r="K39" s="12" t="str">
        <f>IF(F39="","",VLOOKUP(F39,Parts!A:N,14,FALSE))</f>
        <v/>
      </c>
      <c r="L39" s="33"/>
      <c r="M39" s="33"/>
      <c r="N39" s="8" t="str">
        <f t="shared" si="0"/>
        <v/>
      </c>
      <c r="O39" s="8">
        <f t="shared" si="1"/>
        <v>3.5000000000000003E-2</v>
      </c>
      <c r="P39" s="8" t="str">
        <f t="shared" si="3"/>
        <v/>
      </c>
      <c r="Q39" s="8">
        <f>(B39*Standards!D$15)+Q38</f>
        <v>0</v>
      </c>
      <c r="R39" s="8">
        <f t="shared" si="2"/>
        <v>0</v>
      </c>
      <c r="T39" s="59"/>
      <c r="U39" s="59"/>
      <c r="V39" s="59"/>
      <c r="W39" s="59"/>
      <c r="X39" s="59"/>
      <c r="Y39" s="59"/>
      <c r="Z39" s="59"/>
    </row>
  </sheetData>
  <sheetProtection algorithmName="SHA-512" hashValue="tjv6MX61J7ExBEFQOC7WjWjUZ9kLhpGmy9y0aDgcLksSdruaQcA9lP5pRTI8YfennarVl2svNBat3v40Hx1uEg==" saltValue="jNn3LCzBgJ7nIARFfuuZMg==" spinCount="100000" sheet="1" objects="1" scenarios="1" selectLockedCells="1"/>
  <mergeCells count="8">
    <mergeCell ref="K3:K4"/>
    <mergeCell ref="L3:L4"/>
    <mergeCell ref="A1:C1"/>
    <mergeCell ref="B2:D2"/>
    <mergeCell ref="A3:A4"/>
    <mergeCell ref="B3:G4"/>
    <mergeCell ref="H3:H4"/>
    <mergeCell ref="I3:I4"/>
  </mergeCells>
  <conditionalFormatting sqref="H8:H39">
    <cfRule type="containsBlanks" dxfId="55" priority="4">
      <formula>LEN(TRIM(H8))=0</formula>
    </cfRule>
  </conditionalFormatting>
  <conditionalFormatting sqref="I8:I39">
    <cfRule type="containsBlanks" dxfId="54" priority="2">
      <formula>LEN(TRIM(I8))=0</formula>
    </cfRule>
  </conditionalFormatting>
  <conditionalFormatting sqref="B6">
    <cfRule type="cellIs" dxfId="53" priority="1" operator="greaterThan">
      <formula>65000</formula>
    </cfRule>
  </conditionalFormatting>
  <dataValidations count="8">
    <dataValidation type="list" allowBlank="1" showInputMessage="1" showErrorMessage="1" sqref="F8:F39" xr:uid="{00FCA2A5-BAC3-4679-BA8B-135EE41AD6C9}">
      <formula1>Splits</formula1>
    </dataValidation>
    <dataValidation type="list" allowBlank="1" showInputMessage="1" showErrorMessage="1" sqref="J2" xr:uid="{64F5337F-38E7-42B9-8C9F-EB9B990279F0}">
      <formula1>"1x4,1x8,1x16,1x32"</formula1>
    </dataValidation>
    <dataValidation type="list" allowBlank="1" showInputMessage="1" showErrorMessage="1" sqref="J5" xr:uid="{0B19AEDE-E689-41D5-92E6-2440AF87226A}">
      <formula1>"Average,Maximum"</formula1>
    </dataValidation>
    <dataValidation type="list" allowBlank="1" showInputMessage="1" showErrorMessage="1" sqref="G8:G39" xr:uid="{3691E876-CEEF-4414-B7D1-1C7929CB25A6}">
      <formula1>"Y,N"</formula1>
    </dataValidation>
    <dataValidation type="list" allowBlank="1" showInputMessage="1" showErrorMessage="1" sqref="H5" xr:uid="{E73CE904-BA40-4551-ACEA-45DF3A327DFA}">
      <formula1>"Direct,Spliced,APC,MPO,MPT,UPC"</formula1>
    </dataValidation>
    <dataValidation type="list" allowBlank="1" showInputMessage="1" showErrorMessage="1" sqref="E2" xr:uid="{A36BF2C1-50A6-4009-8ED8-93A46AFC8E8C}">
      <formula1>OLT</formula1>
    </dataValidation>
    <dataValidation type="list" allowBlank="1" showInputMessage="1" showErrorMessage="1" sqref="G8:G39" xr:uid="{4389EDAE-FFF2-4CE4-A43D-37556FDD49EC}">
      <formula1>"No,Yes"</formula1>
    </dataValidation>
    <dataValidation allowBlank="1" showInputMessage="1" showErrorMessage="1" errorTitle="Suspicious Value" error="Please enter span values in kilofeet!" sqref="B8:D39" xr:uid="{2F3A5FB9-007C-4251-9882-DD2A5707B72B}"/>
  </dataValidations>
  <pageMargins left="0.7" right="0.7" top="0.75" bottom="0.75" header="0.3" footer="0.3"/>
  <pageSetup orientation="portrait" r:id="rId1"/>
  <headerFooter>
    <oddFooter>&amp;L&amp;1#&amp;"Calibri"&amp;8&amp;K000000Sensitivity: Internal</oddFooter>
  </headerFooter>
  <drawing r:id="rId2"/>
  <legacyDrawing r:id="rId3"/>
  <controls>
    <mc:AlternateContent xmlns:mc="http://schemas.openxmlformats.org/markup-compatibility/2006">
      <mc:Choice Requires="x14">
        <control shapeId="48130" r:id="rId4" name="CommandButton3">
          <controlPr locked="0" defaultSize="0" autoLine="0" r:id="rId5">
            <anchor moveWithCells="1">
              <from>
                <xdr:col>3</xdr:col>
                <xdr:colOff>66675</xdr:colOff>
                <xdr:row>4</xdr:row>
                <xdr:rowOff>28575</xdr:rowOff>
              </from>
              <to>
                <xdr:col>4</xdr:col>
                <xdr:colOff>266700</xdr:colOff>
                <xdr:row>5</xdr:row>
                <xdr:rowOff>180975</xdr:rowOff>
              </to>
            </anchor>
          </controlPr>
        </control>
      </mc:Choice>
      <mc:Fallback>
        <control shapeId="48130" r:id="rId4" name="CommandButton3"/>
      </mc:Fallback>
    </mc:AlternateContent>
    <mc:AlternateContent xmlns:mc="http://schemas.openxmlformats.org/markup-compatibility/2006">
      <mc:Choice Requires="x14">
        <control shapeId="48129" r:id="rId6" name="CommandButton1">
          <controlPr locked="0" defaultSize="0" autoLine="0" r:id="rId7">
            <anchor moveWithCells="1">
              <from>
                <xdr:col>4</xdr:col>
                <xdr:colOff>295275</xdr:colOff>
                <xdr:row>4</xdr:row>
                <xdr:rowOff>28575</xdr:rowOff>
              </from>
              <to>
                <xdr:col>5</xdr:col>
                <xdr:colOff>552450</xdr:colOff>
                <xdr:row>5</xdr:row>
                <xdr:rowOff>180975</xdr:rowOff>
              </to>
            </anchor>
          </controlPr>
        </control>
      </mc:Choice>
      <mc:Fallback>
        <control shapeId="48129" r:id="rId6"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cellIs" priority="5" operator="lessThan" id="{1062FFCC-40E4-435B-BDAD-DC5DBAAB48D4}">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H8:H39</xm:sqref>
        </x14:conditionalFormatting>
        <x14:conditionalFormatting xmlns:xm="http://schemas.microsoft.com/office/excel/2006/main">
          <x14:cfRule type="cellIs" priority="3" operator="notBetween" id="{885179EF-0044-43ED-9D47-71CC558C4884}">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I8:I39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A2B04C48-1326-4951-9B28-5C17CF4E0276}">
          <x14:formula1>
            <xm:f>Standards!$B$46:$B$53</xm:f>
          </x14:formula1>
          <xm:sqref>E8</xm:sqref>
        </x14:dataValidation>
        <x14:dataValidation type="list" allowBlank="1" showInputMessage="1" showErrorMessage="1" xr:uid="{2021DE1C-29DF-445B-A551-4B9D01AFA69F}">
          <x14:formula1>
            <xm:f>Standards!$B$46:$B$52</xm:f>
          </x14:formula1>
          <xm:sqref>E9:E39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D61D0-D9D1-477C-9C9F-FFE08CC54962}">
  <sheetPr codeName="Sheet10">
    <pageSetUpPr fitToPage="1"/>
  </sheetPr>
  <dimension ref="A1:Z137"/>
  <sheetViews>
    <sheetView showGridLines="0" workbookViewId="0">
      <pane ySplit="7" topLeftCell="A8" activePane="bottomLeft" state="frozen"/>
      <selection activeCell="L25" sqref="L25:M25"/>
      <selection pane="bottomLeft" activeCell="L25" sqref="L25:M25"/>
    </sheetView>
  </sheetViews>
  <sheetFormatPr defaultRowHeight="15" x14ac:dyDescent="0.25"/>
  <cols>
    <col min="1" max="1" width="10.42578125" customWidth="1"/>
    <col min="2" max="2" width="10.85546875" style="22" customWidth="1"/>
    <col min="3" max="3" width="15.140625" style="22" customWidth="1"/>
    <col min="4" max="4" width="8.85546875" style="9" bestFit="1" customWidth="1"/>
    <col min="5" max="5" width="10.42578125" bestFit="1" customWidth="1"/>
    <col min="6" max="6" width="9.5703125" customWidth="1"/>
    <col min="7" max="7" width="11.28515625" bestFit="1" customWidth="1"/>
    <col min="8" max="8" width="13.28515625" customWidth="1"/>
    <col min="9" max="9" width="12.140625" customWidth="1"/>
    <col min="10" max="10" width="13.28515625" style="7" bestFit="1" customWidth="1"/>
    <col min="11" max="11" width="19.7109375" customWidth="1"/>
    <col min="12" max="12" width="16.28515625" customWidth="1"/>
    <col min="13" max="13" width="14.7109375" bestFit="1" customWidth="1"/>
    <col min="14" max="14" width="9.5703125" style="7" hidden="1" customWidth="1"/>
    <col min="15" max="15" width="9" style="8" hidden="1" customWidth="1"/>
    <col min="16" max="16" width="8.28515625" style="8" hidden="1" customWidth="1"/>
    <col min="17" max="18" width="16.5703125" style="8" hidden="1" customWidth="1"/>
    <col min="19" max="19" width="8.42578125" style="8" hidden="1" customWidth="1"/>
    <col min="20" max="26" width="9.140625" style="59"/>
  </cols>
  <sheetData>
    <row r="1" spans="1:26" ht="62.25" customHeight="1" x14ac:dyDescent="0.3">
      <c r="A1" s="75" t="s">
        <v>125</v>
      </c>
      <c r="B1" s="76"/>
      <c r="C1" s="77"/>
      <c r="D1" s="49"/>
      <c r="E1" s="24" t="s">
        <v>126</v>
      </c>
      <c r="F1" s="24" t="s">
        <v>127</v>
      </c>
      <c r="G1" s="24" t="s">
        <v>128</v>
      </c>
      <c r="H1" s="24" t="s">
        <v>129</v>
      </c>
      <c r="I1" s="24" t="s">
        <v>130</v>
      </c>
      <c r="J1" s="24" t="s">
        <v>131</v>
      </c>
      <c r="K1" s="24" t="s">
        <v>132</v>
      </c>
      <c r="L1" s="24" t="s">
        <v>133</v>
      </c>
      <c r="M1" s="24" t="s">
        <v>134</v>
      </c>
      <c r="O1" s="7"/>
      <c r="P1" s="7"/>
      <c r="Q1" s="7"/>
      <c r="R1" s="7"/>
    </row>
    <row r="2" spans="1:26" ht="18" customHeight="1" x14ac:dyDescent="0.25">
      <c r="A2" s="29" t="s">
        <v>135</v>
      </c>
      <c r="B2" s="78" t="s">
        <v>167</v>
      </c>
      <c r="C2" s="79"/>
      <c r="D2" s="80"/>
      <c r="E2" s="26" t="s">
        <v>57</v>
      </c>
      <c r="F2" s="28">
        <f>VLOOKUP(E2,Standards!B3:C7,2,FALSE)</f>
        <v>3.25</v>
      </c>
      <c r="G2" s="25">
        <v>1</v>
      </c>
      <c r="H2" s="42">
        <v>2</v>
      </c>
      <c r="I2" s="41">
        <v>200</v>
      </c>
      <c r="J2" s="32" t="s">
        <v>79</v>
      </c>
      <c r="K2" s="32">
        <v>2</v>
      </c>
      <c r="L2" s="38">
        <f>F2-(G2*Standards!D14)-(H2*Standards!D13)-(I2*Standards!D15)-VLOOKUP(J2,LS_Loss,2,FALSE)-(VLOOKUP(H5,Losses,3,FALSE)*I5)</f>
        <v>-9.9407263993367554</v>
      </c>
      <c r="M2" s="37" t="s">
        <v>136</v>
      </c>
      <c r="O2" s="7"/>
      <c r="P2" s="7"/>
      <c r="Q2" s="7"/>
      <c r="R2" s="7"/>
    </row>
    <row r="3" spans="1:26" s="4" customFormat="1" ht="15" customHeight="1" x14ac:dyDescent="0.25">
      <c r="A3" s="88" t="s">
        <v>137</v>
      </c>
      <c r="B3" s="81"/>
      <c r="C3" s="82"/>
      <c r="D3" s="82"/>
      <c r="E3" s="82"/>
      <c r="F3" s="82"/>
      <c r="G3" s="83"/>
      <c r="H3" s="88" t="s">
        <v>138</v>
      </c>
      <c r="I3" s="88" t="s">
        <v>166</v>
      </c>
      <c r="J3" s="44"/>
      <c r="K3" s="87" t="s">
        <v>140</v>
      </c>
      <c r="L3" s="87" t="s">
        <v>141</v>
      </c>
      <c r="M3" s="14" t="s">
        <v>142</v>
      </c>
      <c r="T3" s="60"/>
      <c r="U3" s="60"/>
      <c r="V3" s="60"/>
      <c r="W3" s="60"/>
      <c r="X3" s="60"/>
      <c r="Y3" s="60"/>
      <c r="Z3" s="60"/>
    </row>
    <row r="4" spans="1:26" s="4" customFormat="1" ht="15" customHeight="1" x14ac:dyDescent="0.25">
      <c r="A4" s="88"/>
      <c r="B4" s="84"/>
      <c r="C4" s="85"/>
      <c r="D4" s="85"/>
      <c r="E4" s="85"/>
      <c r="F4" s="85"/>
      <c r="G4" s="86"/>
      <c r="H4" s="88"/>
      <c r="I4" s="89"/>
      <c r="J4" s="45" t="s">
        <v>143</v>
      </c>
      <c r="K4" s="87"/>
      <c r="L4" s="87"/>
      <c r="M4" s="12" t="s">
        <v>144</v>
      </c>
      <c r="T4" s="60"/>
      <c r="U4" s="60"/>
      <c r="V4" s="60"/>
      <c r="W4" s="60"/>
      <c r="X4" s="60"/>
      <c r="Y4" s="60"/>
      <c r="Z4" s="60"/>
    </row>
    <row r="5" spans="1:26" x14ac:dyDescent="0.25">
      <c r="A5" s="5"/>
      <c r="B5" s="46" t="s">
        <v>145</v>
      </c>
      <c r="C5" s="47" t="s">
        <v>146</v>
      </c>
      <c r="D5"/>
      <c r="H5" s="48" t="s">
        <v>71</v>
      </c>
      <c r="I5" s="43">
        <v>0</v>
      </c>
      <c r="J5" s="43" t="s">
        <v>108</v>
      </c>
      <c r="K5" s="43">
        <v>1500</v>
      </c>
      <c r="L5" s="43">
        <v>2</v>
      </c>
      <c r="M5" s="24" t="s">
        <v>147</v>
      </c>
      <c r="N5" s="4"/>
      <c r="O5" s="4"/>
      <c r="P5" s="4"/>
      <c r="Q5" s="7"/>
      <c r="R5" s="7"/>
    </row>
    <row r="6" spans="1:26" x14ac:dyDescent="0.25">
      <c r="A6" s="29" t="s">
        <v>148</v>
      </c>
      <c r="B6" s="30">
        <f>SUM(B8:B137)</f>
        <v>21502</v>
      </c>
      <c r="C6" s="31">
        <f>SUM(F8:F137)</f>
        <v>84</v>
      </c>
      <c r="D6"/>
      <c r="E6" s="7"/>
      <c r="I6" s="7"/>
      <c r="J6"/>
      <c r="M6" s="27">
        <v>1</v>
      </c>
      <c r="N6" s="4"/>
      <c r="O6" s="4"/>
      <c r="P6" s="4"/>
      <c r="Q6" s="8" t="s">
        <v>149</v>
      </c>
      <c r="R6" s="8" t="s">
        <v>150</v>
      </c>
    </row>
    <row r="7" spans="1:26" s="7" customFormat="1" ht="40.5" customHeight="1" x14ac:dyDescent="0.25">
      <c r="A7" s="20" t="s">
        <v>151</v>
      </c>
      <c r="B7" s="21" t="s">
        <v>152</v>
      </c>
      <c r="C7" s="21" t="s">
        <v>153</v>
      </c>
      <c r="D7" s="19" t="s">
        <v>154</v>
      </c>
      <c r="E7" s="19" t="s">
        <v>155</v>
      </c>
      <c r="F7" s="19" t="s">
        <v>156</v>
      </c>
      <c r="G7" s="19" t="s">
        <v>157</v>
      </c>
      <c r="H7" s="19" t="s">
        <v>158</v>
      </c>
      <c r="I7" s="19" t="s">
        <v>159</v>
      </c>
      <c r="J7" s="19" t="s">
        <v>87</v>
      </c>
      <c r="K7" s="20" t="s">
        <v>160</v>
      </c>
      <c r="L7" s="19" t="s">
        <v>161</v>
      </c>
      <c r="M7" s="20" t="s">
        <v>162</v>
      </c>
      <c r="N7" s="8" t="s">
        <v>163</v>
      </c>
      <c r="O7" s="8" t="s">
        <v>164</v>
      </c>
      <c r="P7" s="8" t="s">
        <v>165</v>
      </c>
      <c r="Q7" s="7">
        <v>0</v>
      </c>
      <c r="R7" s="7">
        <v>0</v>
      </c>
      <c r="S7" s="36"/>
      <c r="T7" s="61"/>
      <c r="U7" s="61"/>
      <c r="V7" s="61"/>
      <c r="W7" s="61"/>
      <c r="X7" s="61"/>
      <c r="Y7" s="61"/>
      <c r="Z7" s="61"/>
    </row>
    <row r="8" spans="1:26" x14ac:dyDescent="0.25">
      <c r="A8" s="35">
        <v>1</v>
      </c>
      <c r="B8" s="34">
        <v>120</v>
      </c>
      <c r="C8" s="50" t="s">
        <v>168</v>
      </c>
      <c r="D8" s="51" t="s">
        <v>169</v>
      </c>
      <c r="E8" s="18" t="s">
        <v>91</v>
      </c>
      <c r="F8" s="13">
        <v>0</v>
      </c>
      <c r="G8" s="40"/>
      <c r="H8" s="6">
        <f>IF(F8="","",N8-VLOOKUP(F8,Parts!A:F,6,FALSE))</f>
        <v>-9.9881622389388092</v>
      </c>
      <c r="I8" s="6" t="str">
        <f>IF(F8="","",IF(F8=0,"",H8-(Standards!D$14*L$5)-(Standards!D$15*K$5)))</f>
        <v/>
      </c>
      <c r="J8" s="12" t="str">
        <f>IF(F8="","",VLOOKUP(F8,Parts!A:J,10,FALSE))</f>
        <v>N/A</v>
      </c>
      <c r="K8" s="12" t="str">
        <f>IF(F8="","",VLOOKUP(F8,Parts!A:N,14,FALSE))</f>
        <v>N/A</v>
      </c>
      <c r="L8" s="33"/>
      <c r="M8" s="33"/>
      <c r="N8" s="8">
        <f t="shared" ref="N8:N39" si="0">IF(F8="","",L$2-Q8-R8)</f>
        <v>-9.9881622389388092</v>
      </c>
      <c r="O8" s="8">
        <f t="shared" ref="O8:O39" si="1">VLOOKUP(H$5,Losses,3,FALSE)</f>
        <v>3.5000000000000003E-2</v>
      </c>
      <c r="P8" s="8">
        <f>IF(F8="","",N8-O8)</f>
        <v>-10.023162238938809</v>
      </c>
      <c r="Q8" s="8">
        <f>(B8*Standards!D$15)+Q7</f>
        <v>1.243583960205312E-2</v>
      </c>
      <c r="R8" s="8">
        <f t="shared" ref="R8:R39" si="2">IF(F8&lt;&gt;"",VLOOKUP(H$5,Losses,3,FALSE)+R7,R7)</f>
        <v>3.5000000000000003E-2</v>
      </c>
    </row>
    <row r="9" spans="1:26" x14ac:dyDescent="0.25">
      <c r="A9" s="35">
        <v>2</v>
      </c>
      <c r="B9" s="34">
        <v>706</v>
      </c>
      <c r="C9" s="50" t="s">
        <v>168</v>
      </c>
      <c r="D9" s="51" t="s">
        <v>173</v>
      </c>
      <c r="E9" s="16" t="s">
        <v>91</v>
      </c>
      <c r="F9" s="13">
        <v>0</v>
      </c>
      <c r="G9" s="55" t="s">
        <v>189</v>
      </c>
      <c r="H9" s="6">
        <f>IF(F9="","",N9-VLOOKUP(F9,Parts!A:F,6,FALSE))</f>
        <v>-10.096326428597555</v>
      </c>
      <c r="I9" s="6" t="str">
        <f>IF(F9="","",IF(F9=0,"",H9-(Standards!D$14*L$5)-(Standards!D$15*K$5)))</f>
        <v/>
      </c>
      <c r="J9" s="12" t="str">
        <f>IF(F9="","",VLOOKUP(F9,Parts!A:J,10,FALSE))</f>
        <v>N/A</v>
      </c>
      <c r="K9" s="12" t="str">
        <f>IF(F9="","",VLOOKUP(F9,Parts!A:N,14,FALSE))</f>
        <v>N/A</v>
      </c>
      <c r="L9" s="33"/>
      <c r="M9" s="33"/>
      <c r="N9" s="8">
        <f t="shared" si="0"/>
        <v>-10.096326428597555</v>
      </c>
      <c r="O9" s="8">
        <f t="shared" si="1"/>
        <v>3.5000000000000003E-2</v>
      </c>
      <c r="P9" s="8">
        <f t="shared" ref="P9:P39" si="3">IF(F9="","",N9-O9)</f>
        <v>-10.131326428597555</v>
      </c>
      <c r="Q9" s="8">
        <f>(B9*Standards!D$15)+Q8</f>
        <v>8.5600029260798974E-2</v>
      </c>
      <c r="R9" s="8">
        <f t="shared" si="2"/>
        <v>7.0000000000000007E-2</v>
      </c>
      <c r="S9" s="8" t="s">
        <v>189</v>
      </c>
    </row>
    <row r="10" spans="1:26" x14ac:dyDescent="0.25">
      <c r="A10" s="35">
        <v>3</v>
      </c>
      <c r="B10" s="34">
        <v>6785</v>
      </c>
      <c r="C10" s="50" t="s">
        <v>174</v>
      </c>
      <c r="D10" s="90" t="s">
        <v>210</v>
      </c>
      <c r="E10" s="17" t="s">
        <v>91</v>
      </c>
      <c r="F10" s="13">
        <v>0</v>
      </c>
      <c r="G10" s="55" t="s">
        <v>212</v>
      </c>
      <c r="H10" s="6">
        <f>IF(F10="","",N10-VLOOKUP(F10,Parts!A:F,6,FALSE))</f>
        <v>-10.834469526096974</v>
      </c>
      <c r="I10" s="6" t="str">
        <f>IF(F10="","",IF(F10=0,"",H10-(Standards!D$14*L$5)-(Standards!D$15*K$5)))</f>
        <v/>
      </c>
      <c r="J10" s="12" t="str">
        <f>IF(F10="","",VLOOKUP(F10,Parts!A:J,10,FALSE))</f>
        <v>N/A</v>
      </c>
      <c r="K10" s="12" t="str">
        <f>IF(F10="","",VLOOKUP(F10,Parts!A:N,14,FALSE))</f>
        <v>N/A</v>
      </c>
      <c r="L10" s="33"/>
      <c r="M10" s="33"/>
      <c r="N10" s="8">
        <f t="shared" si="0"/>
        <v>-10.834469526096974</v>
      </c>
      <c r="O10" s="8">
        <f t="shared" si="1"/>
        <v>3.5000000000000003E-2</v>
      </c>
      <c r="P10" s="8">
        <f t="shared" si="3"/>
        <v>-10.869469526096974</v>
      </c>
      <c r="Q10" s="8">
        <f>(B10*Standards!D$15)+Q9</f>
        <v>0.78874312676021918</v>
      </c>
      <c r="R10" s="8">
        <f t="shared" si="2"/>
        <v>0.10500000000000001</v>
      </c>
      <c r="S10" s="8" t="s">
        <v>212</v>
      </c>
    </row>
    <row r="11" spans="1:26" x14ac:dyDescent="0.25">
      <c r="A11" s="35">
        <v>4</v>
      </c>
      <c r="B11" s="34">
        <f>341+100</f>
        <v>441</v>
      </c>
      <c r="C11" s="50" t="s">
        <v>174</v>
      </c>
      <c r="D11" s="90" t="s">
        <v>219</v>
      </c>
      <c r="E11" s="16" t="s">
        <v>91</v>
      </c>
      <c r="F11" s="13">
        <v>4</v>
      </c>
      <c r="G11" s="56"/>
      <c r="H11" s="6">
        <f>IF(F11="","",N11-VLOOKUP(F11,Parts!A:F,6,FALSE))</f>
        <v>-18.155171236634523</v>
      </c>
      <c r="I11" s="6">
        <f>IF(F11="","",IF(F11=0,"",H11-(Standards!D$14*L$5)-(Standards!D$15*K$5)))</f>
        <v>-18.510619231660186</v>
      </c>
      <c r="J11" s="12" t="str">
        <f>IF(F11="","",VLOOKUP(F11,Parts!A:J,10,FALSE))</f>
        <v>USBM1X4</v>
      </c>
      <c r="K11" s="12" t="str">
        <f>IF(F11="","",VLOOKUP(F11,Parts!A:N,14,FALSE))</f>
        <v>PLO-U-104-SCA-SCA</v>
      </c>
      <c r="L11" s="33" t="s">
        <v>272</v>
      </c>
      <c r="M11" s="33" t="s">
        <v>273</v>
      </c>
      <c r="N11" s="8">
        <f t="shared" si="0"/>
        <v>-10.915171236634521</v>
      </c>
      <c r="O11" s="8">
        <f t="shared" si="1"/>
        <v>3.5000000000000003E-2</v>
      </c>
      <c r="P11" s="8">
        <f t="shared" si="3"/>
        <v>-10.950171236634521</v>
      </c>
      <c r="Q11" s="8">
        <f>(B11*Standards!D$15)+Q10</f>
        <v>0.83444483729776442</v>
      </c>
      <c r="R11" s="8">
        <f t="shared" si="2"/>
        <v>0.14000000000000001</v>
      </c>
    </row>
    <row r="12" spans="1:26" x14ac:dyDescent="0.25">
      <c r="A12" s="35">
        <v>5</v>
      </c>
      <c r="B12" s="34">
        <f>343+100</f>
        <v>443</v>
      </c>
      <c r="C12" s="50" t="s">
        <v>174</v>
      </c>
      <c r="D12" s="90" t="s">
        <v>213</v>
      </c>
      <c r="E12" s="16" t="s">
        <v>91</v>
      </c>
      <c r="F12" s="13">
        <v>8</v>
      </c>
      <c r="G12" s="56"/>
      <c r="H12" s="6">
        <f>IF(F12="","",N12-VLOOKUP(F12,Parts!A:F,6,FALSE))</f>
        <v>-21.636080211165435</v>
      </c>
      <c r="I12" s="6">
        <f>IF(F12="","",IF(F12=0,"",H12-(Standards!D$14*L$5)-(Standards!D$15*K$5)))</f>
        <v>-21.991528206191099</v>
      </c>
      <c r="J12" s="12" t="str">
        <f>IF(F12="","",VLOOKUP(F12,Parts!A:J,10,FALSE))</f>
        <v>USBM1X8</v>
      </c>
      <c r="K12" s="12" t="str">
        <f>IF(F12="","",VLOOKUP(F12,Parts!A:N,14,FALSE))</f>
        <v>PLO-U-108-SCA-SCA</v>
      </c>
      <c r="L12" s="33" t="s">
        <v>274</v>
      </c>
      <c r="M12" s="33" t="s">
        <v>275</v>
      </c>
      <c r="N12" s="8">
        <f t="shared" si="0"/>
        <v>-10.996080211165433</v>
      </c>
      <c r="O12" s="8">
        <f t="shared" si="1"/>
        <v>3.5000000000000003E-2</v>
      </c>
      <c r="P12" s="8">
        <f t="shared" si="3"/>
        <v>-11.031080211165433</v>
      </c>
      <c r="Q12" s="8">
        <f>(B12*Standards!D$15)+Q11</f>
        <v>0.88035381182867722</v>
      </c>
      <c r="R12" s="8">
        <f t="shared" si="2"/>
        <v>0.17500000000000002</v>
      </c>
    </row>
    <row r="13" spans="1:26" x14ac:dyDescent="0.25">
      <c r="A13" s="35">
        <v>6</v>
      </c>
      <c r="B13" s="34">
        <f>856+100</f>
        <v>956</v>
      </c>
      <c r="C13" s="50" t="s">
        <v>174</v>
      </c>
      <c r="D13" s="90" t="s">
        <v>218</v>
      </c>
      <c r="E13" s="16" t="s">
        <v>91</v>
      </c>
      <c r="F13" s="13">
        <v>0</v>
      </c>
      <c r="G13" s="55" t="s">
        <v>214</v>
      </c>
      <c r="H13" s="6">
        <f>IF(F13="","",N13-VLOOKUP(F13,Parts!A:F,6,FALSE))</f>
        <v>-11.130152399995124</v>
      </c>
      <c r="I13" s="6" t="str">
        <f>IF(F13="","",IF(F13=0,"",H13-(Standards!D$14*L$5)-(Standards!D$15*K$5)))</f>
        <v/>
      </c>
      <c r="J13" s="12" t="str">
        <f>IF(F13="","",VLOOKUP(F13,Parts!A:J,10,FALSE))</f>
        <v>N/A</v>
      </c>
      <c r="K13" s="12" t="str">
        <f>IF(F13="","",VLOOKUP(F13,Parts!A:N,14,FALSE))</f>
        <v>N/A</v>
      </c>
      <c r="L13" s="33"/>
      <c r="M13" s="33"/>
      <c r="N13" s="8">
        <f t="shared" si="0"/>
        <v>-11.130152399995124</v>
      </c>
      <c r="O13" s="8">
        <f t="shared" si="1"/>
        <v>3.5000000000000003E-2</v>
      </c>
      <c r="P13" s="8">
        <f t="shared" si="3"/>
        <v>-11.165152399995124</v>
      </c>
      <c r="Q13" s="8">
        <f>(B13*Standards!D$15)+Q12</f>
        <v>0.97942600065836705</v>
      </c>
      <c r="R13" s="8">
        <f t="shared" si="2"/>
        <v>0.21000000000000002</v>
      </c>
      <c r="S13" s="8" t="s">
        <v>214</v>
      </c>
    </row>
    <row r="14" spans="1:26" x14ac:dyDescent="0.25">
      <c r="A14" s="35">
        <v>7</v>
      </c>
      <c r="B14" s="34">
        <f>782+100</f>
        <v>882</v>
      </c>
      <c r="C14" s="50" t="s">
        <v>174</v>
      </c>
      <c r="D14" s="90" t="s">
        <v>216</v>
      </c>
      <c r="E14" s="16" t="s">
        <v>91</v>
      </c>
      <c r="F14" s="13">
        <v>4</v>
      </c>
      <c r="G14" s="56"/>
      <c r="H14" s="6">
        <f>IF(F14="","",N14-VLOOKUP(F14,Parts!A:F,6,FALSE))</f>
        <v>-18.49655582107021</v>
      </c>
      <c r="I14" s="6">
        <f>IF(F14="","",IF(F14=0,"",H14-(Standards!D$14*L$5)-(Standards!D$15*K$5)))</f>
        <v>-18.852003816095873</v>
      </c>
      <c r="J14" s="12" t="str">
        <f>IF(F14="","",VLOOKUP(F14,Parts!A:J,10,FALSE))</f>
        <v>USBM1X4</v>
      </c>
      <c r="K14" s="12" t="str">
        <f>IF(F14="","",VLOOKUP(F14,Parts!A:N,14,FALSE))</f>
        <v>PLO-U-104-SCA-SCA</v>
      </c>
      <c r="L14" s="33" t="s">
        <v>276</v>
      </c>
      <c r="M14" s="33" t="s">
        <v>277</v>
      </c>
      <c r="N14" s="8">
        <f t="shared" si="0"/>
        <v>-11.256555821070211</v>
      </c>
      <c r="O14" s="8">
        <f t="shared" si="1"/>
        <v>3.5000000000000003E-2</v>
      </c>
      <c r="P14" s="8">
        <f t="shared" si="3"/>
        <v>-11.291555821070212</v>
      </c>
      <c r="Q14" s="8">
        <f>(B14*Standards!D$15)+Q13</f>
        <v>1.0708294217334575</v>
      </c>
      <c r="R14" s="8">
        <f t="shared" si="2"/>
        <v>0.24500000000000002</v>
      </c>
    </row>
    <row r="15" spans="1:26" x14ac:dyDescent="0.25">
      <c r="A15" s="35">
        <v>8</v>
      </c>
      <c r="B15" s="34">
        <f>509+100</f>
        <v>609</v>
      </c>
      <c r="C15" s="50" t="s">
        <v>217</v>
      </c>
      <c r="D15" s="51" t="s">
        <v>179</v>
      </c>
      <c r="E15" s="16" t="s">
        <v>91</v>
      </c>
      <c r="F15" s="13">
        <v>4</v>
      </c>
      <c r="G15" s="40"/>
      <c r="H15" s="6">
        <f>IF(F15="","",N15-VLOOKUP(F15,Parts!A:F,6,FALSE))</f>
        <v>-18.594667707050633</v>
      </c>
      <c r="I15" s="6">
        <f>IF(F15="","",IF(F15=0,"",H15-(Standards!D$14*L$5)-(Standards!D$15*K$5)))</f>
        <v>-18.950115702076296</v>
      </c>
      <c r="J15" s="12" t="str">
        <f>IF(F15="","",VLOOKUP(F15,Parts!A:J,10,FALSE))</f>
        <v>USBM1X4</v>
      </c>
      <c r="K15" s="12" t="str">
        <f>IF(F15="","",VLOOKUP(F15,Parts!A:N,14,FALSE))</f>
        <v>PLO-U-104-SCA-SCA</v>
      </c>
      <c r="L15" s="33" t="s">
        <v>278</v>
      </c>
      <c r="M15" s="33" t="s">
        <v>279</v>
      </c>
      <c r="N15" s="8">
        <f t="shared" si="0"/>
        <v>-11.354667707050632</v>
      </c>
      <c r="O15" s="8">
        <f t="shared" si="1"/>
        <v>3.5000000000000003E-2</v>
      </c>
      <c r="P15" s="8">
        <f t="shared" si="3"/>
        <v>-11.389667707050632</v>
      </c>
      <c r="Q15" s="8">
        <f>(B15*Standards!D$15)+Q14</f>
        <v>1.1339413077138771</v>
      </c>
      <c r="R15" s="8">
        <f t="shared" si="2"/>
        <v>0.28000000000000003</v>
      </c>
    </row>
    <row r="16" spans="1:26" x14ac:dyDescent="0.25">
      <c r="A16" s="35">
        <v>9</v>
      </c>
      <c r="B16" s="34"/>
      <c r="C16" s="50"/>
      <c r="D16" s="52"/>
      <c r="E16" s="17"/>
      <c r="F16" s="13"/>
      <c r="G16" s="40"/>
      <c r="H16" s="6" t="str">
        <f>IF(F16="","",N16-VLOOKUP(F16,Parts!A:F,6,FALSE))</f>
        <v/>
      </c>
      <c r="I16" s="6" t="str">
        <f>IF(F16="","",IF(F16=0,"",H16-(Standards!D$14*L$5)-(Standards!D$15*K$5)))</f>
        <v/>
      </c>
      <c r="J16" s="12" t="str">
        <f>IF(F16="","",VLOOKUP(F16,Parts!A:J,10,FALSE))</f>
        <v/>
      </c>
      <c r="K16" s="12" t="str">
        <f>IF(F16="","",VLOOKUP(F16,Parts!A:N,14,FALSE))</f>
        <v/>
      </c>
      <c r="L16" s="33"/>
      <c r="M16" s="33"/>
      <c r="N16" s="8" t="str">
        <f t="shared" si="0"/>
        <v/>
      </c>
      <c r="O16" s="8">
        <f t="shared" si="1"/>
        <v>3.5000000000000003E-2</v>
      </c>
      <c r="P16" s="8" t="str">
        <f t="shared" si="3"/>
        <v/>
      </c>
      <c r="Q16" s="8">
        <f>(B16*Standards!D$15)+Q15</f>
        <v>1.1339413077138771</v>
      </c>
      <c r="R16" s="8">
        <f t="shared" si="2"/>
        <v>0.28000000000000003</v>
      </c>
    </row>
    <row r="17" spans="1:26" s="8" customFormat="1" x14ac:dyDescent="0.25">
      <c r="A17" s="35">
        <v>10</v>
      </c>
      <c r="B17" s="34"/>
      <c r="C17" s="50"/>
      <c r="D17" s="52"/>
      <c r="E17" s="17"/>
      <c r="F17" s="13"/>
      <c r="G17" s="40"/>
      <c r="H17" s="6" t="str">
        <f>IF(F17="","",N17-VLOOKUP(F17,Parts!A:F,6,FALSE))</f>
        <v/>
      </c>
      <c r="I17" s="6" t="str">
        <f>IF(F17="","",IF(F17=0,"",H17-(Standards!D$14*L$5)-(Standards!D$15*K$5)))</f>
        <v/>
      </c>
      <c r="J17" s="12" t="str">
        <f>IF(F17="","",VLOOKUP(F17,Parts!A:J,10,FALSE))</f>
        <v/>
      </c>
      <c r="K17" s="12" t="str">
        <f>IF(F17="","",VLOOKUP(F17,Parts!A:N,14,FALSE))</f>
        <v/>
      </c>
      <c r="L17" s="33"/>
      <c r="M17" s="33"/>
      <c r="N17" s="8" t="str">
        <f t="shared" si="0"/>
        <v/>
      </c>
      <c r="O17" s="8">
        <f t="shared" si="1"/>
        <v>3.5000000000000003E-2</v>
      </c>
      <c r="P17" s="8" t="str">
        <f t="shared" si="3"/>
        <v/>
      </c>
      <c r="Q17" s="8">
        <f>(B17*Standards!D$15)+Q16</f>
        <v>1.1339413077138771</v>
      </c>
      <c r="R17" s="8">
        <f t="shared" si="2"/>
        <v>0.28000000000000003</v>
      </c>
      <c r="T17" s="59"/>
      <c r="U17" s="59"/>
      <c r="V17" s="59"/>
      <c r="W17" s="59"/>
      <c r="X17" s="59"/>
      <c r="Y17" s="59"/>
      <c r="Z17" s="59"/>
    </row>
    <row r="18" spans="1:26" s="8" customFormat="1" x14ac:dyDescent="0.25">
      <c r="A18" s="35">
        <v>11</v>
      </c>
      <c r="B18" s="34"/>
      <c r="C18" s="50"/>
      <c r="D18" s="51"/>
      <c r="E18" s="18"/>
      <c r="F18" s="13"/>
      <c r="G18" s="40"/>
      <c r="H18" s="6" t="str">
        <f>IF(F18="","",N18-VLOOKUP(F18,Parts!A:F,6,FALSE))</f>
        <v/>
      </c>
      <c r="I18" s="6" t="str">
        <f>IF(F18="","",IF(F18=0,"",H18-(Standards!D$14*L$5)-(Standards!D$15*K$5)))</f>
        <v/>
      </c>
      <c r="J18" s="12" t="str">
        <f>IF(F18="","",VLOOKUP(F18,Parts!A:J,10,FALSE))</f>
        <v/>
      </c>
      <c r="K18" s="12" t="str">
        <f>IF(F18="","",VLOOKUP(F18,Parts!A:N,14,FALSE))</f>
        <v/>
      </c>
      <c r="L18" s="33"/>
      <c r="M18" s="33"/>
      <c r="N18" s="8" t="str">
        <f t="shared" si="0"/>
        <v/>
      </c>
      <c r="O18" s="8">
        <f t="shared" si="1"/>
        <v>3.5000000000000003E-2</v>
      </c>
      <c r="P18" s="8" t="str">
        <f t="shared" si="3"/>
        <v/>
      </c>
      <c r="Q18" s="8">
        <f>(B18*Standards!D$15)+Q17</f>
        <v>1.1339413077138771</v>
      </c>
      <c r="R18" s="8">
        <f t="shared" si="2"/>
        <v>0.28000000000000003</v>
      </c>
      <c r="T18" s="59"/>
      <c r="U18" s="59"/>
      <c r="V18" s="59"/>
      <c r="W18" s="59"/>
      <c r="X18" s="59"/>
      <c r="Y18" s="59"/>
      <c r="Z18" s="59"/>
    </row>
    <row r="19" spans="1:26" s="8" customFormat="1" x14ac:dyDescent="0.25">
      <c r="A19" s="35">
        <v>12</v>
      </c>
      <c r="B19" s="34"/>
      <c r="C19" s="50"/>
      <c r="D19" s="52"/>
      <c r="E19" s="17"/>
      <c r="F19" s="13"/>
      <c r="G19" s="40"/>
      <c r="H19" s="6" t="str">
        <f>IF(F19="","",N19-VLOOKUP(F19,Parts!A:F,6,FALSE))</f>
        <v/>
      </c>
      <c r="I19" s="6" t="str">
        <f>IF(F19="","",IF(F19=0,"",H19-(Standards!D$14*L$5)-(Standards!D$15*K$5)))</f>
        <v/>
      </c>
      <c r="J19" s="12" t="str">
        <f>IF(F19="","",VLOOKUP(F19,Parts!A:J,10,FALSE))</f>
        <v/>
      </c>
      <c r="K19" s="12" t="str">
        <f>IF(F19="","",VLOOKUP(F19,Parts!A:N,14,FALSE))</f>
        <v/>
      </c>
      <c r="L19" s="33"/>
      <c r="M19" s="33"/>
      <c r="N19" s="8" t="str">
        <f t="shared" si="0"/>
        <v/>
      </c>
      <c r="O19" s="8">
        <f t="shared" si="1"/>
        <v>3.5000000000000003E-2</v>
      </c>
      <c r="P19" s="8" t="str">
        <f t="shared" si="3"/>
        <v/>
      </c>
      <c r="Q19" s="8">
        <f>(B19*Standards!D$15)+Q18</f>
        <v>1.1339413077138771</v>
      </c>
      <c r="R19" s="8">
        <f t="shared" si="2"/>
        <v>0.28000000000000003</v>
      </c>
      <c r="T19" s="59"/>
      <c r="U19" s="59"/>
      <c r="V19" s="59"/>
      <c r="W19" s="59"/>
      <c r="X19" s="59"/>
      <c r="Y19" s="59"/>
      <c r="Z19" s="59"/>
    </row>
    <row r="20" spans="1:26" s="8" customFormat="1" x14ac:dyDescent="0.25">
      <c r="A20" s="35">
        <v>13</v>
      </c>
      <c r="B20" s="34"/>
      <c r="C20" s="50"/>
      <c r="D20" s="53"/>
      <c r="E20" s="16"/>
      <c r="F20" s="13"/>
      <c r="G20" s="40"/>
      <c r="H20" s="6" t="str">
        <f>IF(F20="","",N20-VLOOKUP(F20,Parts!A:F,6,FALSE))</f>
        <v/>
      </c>
      <c r="I20" s="6" t="str">
        <f>IF(F20="","",IF(F20=0,"",H20-(Standards!D$14*L$5)-(Standards!D$15*K$5)))</f>
        <v/>
      </c>
      <c r="J20" s="12" t="str">
        <f>IF(F20="","",VLOOKUP(F20,Parts!A:J,10,FALSE))</f>
        <v/>
      </c>
      <c r="K20" s="12" t="str">
        <f>IF(F20="","",VLOOKUP(F20,Parts!A:N,14,FALSE))</f>
        <v/>
      </c>
      <c r="L20" s="33"/>
      <c r="M20" s="33"/>
      <c r="N20" s="8" t="str">
        <f t="shared" si="0"/>
        <v/>
      </c>
      <c r="O20" s="8">
        <f t="shared" si="1"/>
        <v>3.5000000000000003E-2</v>
      </c>
      <c r="P20" s="8" t="str">
        <f t="shared" si="3"/>
        <v/>
      </c>
      <c r="Q20" s="8">
        <f>(B20*Standards!D$15)+Q19</f>
        <v>1.1339413077138771</v>
      </c>
      <c r="R20" s="8">
        <f t="shared" si="2"/>
        <v>0.28000000000000003</v>
      </c>
      <c r="T20" s="59"/>
      <c r="U20" s="59"/>
      <c r="V20" s="59"/>
      <c r="W20" s="59"/>
      <c r="X20" s="59"/>
      <c r="Y20" s="59"/>
      <c r="Z20" s="59"/>
    </row>
    <row r="21" spans="1:26" s="8" customFormat="1" x14ac:dyDescent="0.25">
      <c r="A21" s="35">
        <v>14</v>
      </c>
      <c r="B21" s="34"/>
      <c r="C21" s="50"/>
      <c r="D21" s="53"/>
      <c r="E21" s="16"/>
      <c r="F21" s="13"/>
      <c r="G21" s="40"/>
      <c r="H21" s="6" t="str">
        <f>IF(F21="","",N21-VLOOKUP(F21,Parts!A:F,6,FALSE))</f>
        <v/>
      </c>
      <c r="I21" s="6" t="str">
        <f>IF(F21="","",IF(F21=0,"",H21-(Standards!D$14*L$5)-(Standards!D$15*K$5)))</f>
        <v/>
      </c>
      <c r="J21" s="12" t="str">
        <f>IF(F21="","",VLOOKUP(F21,Parts!A:J,10,FALSE))</f>
        <v/>
      </c>
      <c r="K21" s="12" t="str">
        <f>IF(F21="","",VLOOKUP(F21,Parts!A:N,14,FALSE))</f>
        <v/>
      </c>
      <c r="L21" s="33"/>
      <c r="M21" s="33"/>
      <c r="N21" s="8" t="str">
        <f t="shared" si="0"/>
        <v/>
      </c>
      <c r="O21" s="8">
        <f t="shared" si="1"/>
        <v>3.5000000000000003E-2</v>
      </c>
      <c r="P21" s="8" t="str">
        <f t="shared" si="3"/>
        <v/>
      </c>
      <c r="Q21" s="8">
        <f>(B21*Standards!D$15)+Q20</f>
        <v>1.1339413077138771</v>
      </c>
      <c r="R21" s="8">
        <f t="shared" si="2"/>
        <v>0.28000000000000003</v>
      </c>
      <c r="T21" s="59"/>
      <c r="U21" s="59"/>
      <c r="V21" s="59"/>
      <c r="W21" s="59"/>
      <c r="X21" s="59"/>
      <c r="Y21" s="59"/>
      <c r="Z21" s="59"/>
    </row>
    <row r="22" spans="1:26" s="8" customFormat="1" x14ac:dyDescent="0.25">
      <c r="A22" s="35">
        <v>15</v>
      </c>
      <c r="B22" s="34"/>
      <c r="C22" s="50"/>
      <c r="D22" s="53"/>
      <c r="E22" s="16"/>
      <c r="F22" s="13"/>
      <c r="G22" s="40"/>
      <c r="H22" s="6" t="str">
        <f>IF(F22="","",N22-VLOOKUP(F22,Parts!A:F,6,FALSE))</f>
        <v/>
      </c>
      <c r="I22" s="6" t="str">
        <f>IF(F22="","",IF(F22=0,"",H22-(Standards!D$14*L$5)-(Standards!D$15*K$5)))</f>
        <v/>
      </c>
      <c r="J22" s="12" t="str">
        <f>IF(F22="","",VLOOKUP(F22,Parts!A:J,10,FALSE))</f>
        <v/>
      </c>
      <c r="K22" s="12" t="str">
        <f>IF(F22="","",VLOOKUP(F22,Parts!A:N,14,FALSE))</f>
        <v/>
      </c>
      <c r="L22" s="33"/>
      <c r="M22" s="33"/>
      <c r="N22" s="8" t="str">
        <f t="shared" si="0"/>
        <v/>
      </c>
      <c r="O22" s="8">
        <f t="shared" si="1"/>
        <v>3.5000000000000003E-2</v>
      </c>
      <c r="P22" s="8" t="str">
        <f t="shared" si="3"/>
        <v/>
      </c>
      <c r="Q22" s="8">
        <f>(B22*Standards!D$15)+Q21</f>
        <v>1.1339413077138771</v>
      </c>
      <c r="R22" s="8">
        <f t="shared" si="2"/>
        <v>0.28000000000000003</v>
      </c>
      <c r="T22" s="59"/>
      <c r="U22" s="59"/>
      <c r="V22" s="59"/>
      <c r="W22" s="59"/>
      <c r="X22" s="59"/>
      <c r="Y22" s="59"/>
      <c r="Z22" s="59"/>
    </row>
    <row r="23" spans="1:26" s="8" customFormat="1" x14ac:dyDescent="0.25">
      <c r="A23" s="35">
        <v>16</v>
      </c>
      <c r="B23" s="34"/>
      <c r="C23" s="50"/>
      <c r="D23" s="53"/>
      <c r="E23" s="16"/>
      <c r="F23" s="13"/>
      <c r="G23" s="40"/>
      <c r="H23" s="6" t="str">
        <f>IF(F23="","",N23-VLOOKUP(F23,Parts!A:F,6,FALSE))</f>
        <v/>
      </c>
      <c r="I23" s="6" t="str">
        <f>IF(F23="","",IF(F23=0,"",H23-(Standards!D$14*L$5)-(Standards!D$15*K$5)))</f>
        <v/>
      </c>
      <c r="J23" s="12" t="str">
        <f>IF(F23="","",VLOOKUP(F23,Parts!A:J,10,FALSE))</f>
        <v/>
      </c>
      <c r="K23" s="12" t="str">
        <f>IF(F23="","",VLOOKUP(F23,Parts!A:N,14,FALSE))</f>
        <v/>
      </c>
      <c r="L23" s="33"/>
      <c r="M23" s="33"/>
      <c r="N23" s="8" t="str">
        <f t="shared" si="0"/>
        <v/>
      </c>
      <c r="O23" s="8">
        <f t="shared" si="1"/>
        <v>3.5000000000000003E-2</v>
      </c>
      <c r="P23" s="8" t="str">
        <f t="shared" si="3"/>
        <v/>
      </c>
      <c r="Q23" s="8">
        <f>(B23*Standards!D$15)+Q22</f>
        <v>1.1339413077138771</v>
      </c>
      <c r="R23" s="8">
        <f t="shared" si="2"/>
        <v>0.28000000000000003</v>
      </c>
      <c r="T23" s="59"/>
      <c r="U23" s="59"/>
      <c r="V23" s="59"/>
      <c r="W23" s="59"/>
      <c r="X23" s="59"/>
      <c r="Y23" s="59"/>
      <c r="Z23" s="59"/>
    </row>
    <row r="24" spans="1:26" s="8" customFormat="1" x14ac:dyDescent="0.25">
      <c r="A24" s="35">
        <v>17</v>
      </c>
      <c r="B24" s="34"/>
      <c r="C24" s="50"/>
      <c r="D24" s="53"/>
      <c r="E24" s="16"/>
      <c r="F24" s="13"/>
      <c r="G24" s="40"/>
      <c r="H24" s="6" t="str">
        <f>IF(F24="","",N24-VLOOKUP(F24,Parts!A:F,6,FALSE))</f>
        <v/>
      </c>
      <c r="I24" s="6" t="str">
        <f>IF(F24="","",IF(F24=0,"",H24-(Standards!D$14*L$5)-(Standards!D$15*K$5)))</f>
        <v/>
      </c>
      <c r="J24" s="12" t="str">
        <f>IF(F24="","",VLOOKUP(F24,Parts!A:J,10,FALSE))</f>
        <v/>
      </c>
      <c r="K24" s="12" t="str">
        <f>IF(F24="","",VLOOKUP(F24,Parts!A:N,14,FALSE))</f>
        <v/>
      </c>
      <c r="L24" s="33"/>
      <c r="M24" s="33"/>
      <c r="N24" s="8" t="str">
        <f t="shared" si="0"/>
        <v/>
      </c>
      <c r="O24" s="8">
        <f t="shared" si="1"/>
        <v>3.5000000000000003E-2</v>
      </c>
      <c r="P24" s="8" t="str">
        <f t="shared" si="3"/>
        <v/>
      </c>
      <c r="Q24" s="8">
        <f>(B24*Standards!D$15)+Q23</f>
        <v>1.1339413077138771</v>
      </c>
      <c r="R24" s="8">
        <f t="shared" si="2"/>
        <v>0.28000000000000003</v>
      </c>
      <c r="T24" s="59"/>
      <c r="U24" s="59"/>
      <c r="V24" s="59"/>
      <c r="W24" s="59"/>
      <c r="X24" s="59"/>
      <c r="Y24" s="59"/>
      <c r="Z24" s="59"/>
    </row>
    <row r="25" spans="1:26" s="8" customFormat="1" x14ac:dyDescent="0.25">
      <c r="A25" s="35">
        <v>18</v>
      </c>
      <c r="B25" s="34"/>
      <c r="C25" s="50"/>
      <c r="D25" s="53"/>
      <c r="E25" s="16"/>
      <c r="F25" s="13"/>
      <c r="G25" s="40"/>
      <c r="H25" s="6" t="str">
        <f>IF(F25="","",N25-VLOOKUP(F25,Parts!A:F,6,FALSE))</f>
        <v/>
      </c>
      <c r="I25" s="6" t="str">
        <f>IF(F25="","",IF(F25=0,"",H25-(Standards!D$14*L$5)-(Standards!D$15*K$5)))</f>
        <v/>
      </c>
      <c r="J25" s="12" t="str">
        <f>IF(F25="","",VLOOKUP(F25,Parts!A:J,10,FALSE))</f>
        <v/>
      </c>
      <c r="K25" s="12" t="str">
        <f>IF(F25="","",VLOOKUP(F25,Parts!A:N,14,FALSE))</f>
        <v/>
      </c>
      <c r="L25" s="33"/>
      <c r="M25" s="33"/>
      <c r="N25" s="8" t="str">
        <f t="shared" si="0"/>
        <v/>
      </c>
      <c r="O25" s="8">
        <f t="shared" si="1"/>
        <v>3.5000000000000003E-2</v>
      </c>
      <c r="P25" s="8" t="str">
        <f t="shared" si="3"/>
        <v/>
      </c>
      <c r="Q25" s="8">
        <f>(B25*Standards!D$15)+Q24</f>
        <v>1.1339413077138771</v>
      </c>
      <c r="R25" s="8">
        <f t="shared" si="2"/>
        <v>0.28000000000000003</v>
      </c>
      <c r="T25" s="59"/>
      <c r="U25" s="59"/>
      <c r="V25" s="59"/>
      <c r="W25" s="59"/>
      <c r="X25" s="59"/>
      <c r="Y25" s="59"/>
      <c r="Z25" s="59"/>
    </row>
    <row r="26" spans="1:26" s="8" customFormat="1" x14ac:dyDescent="0.25">
      <c r="A26" s="35">
        <v>19</v>
      </c>
      <c r="B26" s="34"/>
      <c r="C26" s="50"/>
      <c r="D26" s="53"/>
      <c r="E26" s="16"/>
      <c r="F26" s="13"/>
      <c r="G26" s="40"/>
      <c r="H26" s="6" t="str">
        <f>IF(F26="","",N26-VLOOKUP(F26,Parts!A:F,6,FALSE))</f>
        <v/>
      </c>
      <c r="I26" s="6" t="str">
        <f>IF(F26="","",IF(F26=0,"",H26-(Standards!D$14*L$5)-(Standards!D$15*K$5)))</f>
        <v/>
      </c>
      <c r="J26" s="12" t="str">
        <f>IF(F26="","",VLOOKUP(F26,Parts!A:J,10,FALSE))</f>
        <v/>
      </c>
      <c r="K26" s="12" t="str">
        <f>IF(F26="","",VLOOKUP(F26,Parts!A:N,14,FALSE))</f>
        <v/>
      </c>
      <c r="L26" s="33"/>
      <c r="M26" s="33"/>
      <c r="N26" s="8" t="str">
        <f t="shared" si="0"/>
        <v/>
      </c>
      <c r="O26" s="8">
        <f t="shared" si="1"/>
        <v>3.5000000000000003E-2</v>
      </c>
      <c r="P26" s="8" t="str">
        <f t="shared" si="3"/>
        <v/>
      </c>
      <c r="Q26" s="8">
        <f>(B26*Standards!D$15)+Q25</f>
        <v>1.1339413077138771</v>
      </c>
      <c r="R26" s="8">
        <f t="shared" si="2"/>
        <v>0.28000000000000003</v>
      </c>
      <c r="T26" s="59"/>
      <c r="U26" s="59"/>
      <c r="V26" s="59"/>
      <c r="W26" s="59"/>
      <c r="X26" s="59"/>
      <c r="Y26" s="59"/>
      <c r="Z26" s="59"/>
    </row>
    <row r="27" spans="1:26" s="8" customFormat="1" x14ac:dyDescent="0.25">
      <c r="A27" s="35">
        <v>20</v>
      </c>
      <c r="B27" s="34"/>
      <c r="C27" s="50"/>
      <c r="D27" s="53"/>
      <c r="E27" s="16"/>
      <c r="F27" s="13"/>
      <c r="G27" s="40"/>
      <c r="H27" s="6" t="str">
        <f>IF(F27="","",N27-VLOOKUP(F27,Parts!A:F,6,FALSE))</f>
        <v/>
      </c>
      <c r="I27" s="6" t="str">
        <f>IF(F27="","",IF(F27=0,"",H27-(Standards!D$14*L$5)-(Standards!D$15*K$5)))</f>
        <v/>
      </c>
      <c r="J27" s="12" t="str">
        <f>IF(F27="","",VLOOKUP(F27,Parts!A:J,10,FALSE))</f>
        <v/>
      </c>
      <c r="K27" s="12" t="str">
        <f>IF(F27="","",VLOOKUP(F27,Parts!A:N,14,FALSE))</f>
        <v/>
      </c>
      <c r="L27" s="33"/>
      <c r="M27" s="33"/>
      <c r="N27" s="8" t="str">
        <f t="shared" si="0"/>
        <v/>
      </c>
      <c r="O27" s="8">
        <f t="shared" si="1"/>
        <v>3.5000000000000003E-2</v>
      </c>
      <c r="P27" s="8" t="str">
        <f t="shared" si="3"/>
        <v/>
      </c>
      <c r="Q27" s="8">
        <f>(B27*Standards!D$15)+Q26</f>
        <v>1.1339413077138771</v>
      </c>
      <c r="R27" s="8">
        <f t="shared" si="2"/>
        <v>0.28000000000000003</v>
      </c>
      <c r="T27" s="59"/>
      <c r="U27" s="59"/>
      <c r="V27" s="59"/>
      <c r="W27" s="59"/>
      <c r="X27" s="59"/>
      <c r="Y27" s="59"/>
      <c r="Z27" s="59"/>
    </row>
    <row r="28" spans="1:26" s="8" customFormat="1" x14ac:dyDescent="0.25">
      <c r="A28" s="35">
        <v>21</v>
      </c>
      <c r="B28" s="34"/>
      <c r="C28" s="50"/>
      <c r="D28" s="53"/>
      <c r="E28" s="16"/>
      <c r="F28" s="13"/>
      <c r="G28" s="40"/>
      <c r="H28" s="6" t="str">
        <f>IF(F28="","",N28-VLOOKUP(F28,Parts!A:F,6,FALSE))</f>
        <v/>
      </c>
      <c r="I28" s="6" t="str">
        <f>IF(F28="","",IF(F28=0,"",H28-(Standards!D$14*L$5)-(Standards!D$15*K$5)))</f>
        <v/>
      </c>
      <c r="J28" s="12" t="str">
        <f>IF(F28="","",VLOOKUP(F28,Parts!A:J,10,FALSE))</f>
        <v/>
      </c>
      <c r="K28" s="12" t="str">
        <f>IF(F28="","",VLOOKUP(F28,Parts!A:N,14,FALSE))</f>
        <v/>
      </c>
      <c r="L28" s="33"/>
      <c r="M28" s="33"/>
      <c r="N28" s="8" t="str">
        <f t="shared" si="0"/>
        <v/>
      </c>
      <c r="O28" s="8">
        <f t="shared" si="1"/>
        <v>3.5000000000000003E-2</v>
      </c>
      <c r="P28" s="8" t="str">
        <f t="shared" si="3"/>
        <v/>
      </c>
      <c r="Q28" s="8">
        <f>(B28*Standards!D$15)+Q27</f>
        <v>1.1339413077138771</v>
      </c>
      <c r="R28" s="8">
        <f t="shared" si="2"/>
        <v>0.28000000000000003</v>
      </c>
      <c r="T28" s="59"/>
      <c r="U28" s="59"/>
      <c r="V28" s="59"/>
      <c r="W28" s="59"/>
      <c r="X28" s="59"/>
      <c r="Y28" s="59"/>
      <c r="Z28" s="59"/>
    </row>
    <row r="29" spans="1:26" s="8" customFormat="1" x14ac:dyDescent="0.25">
      <c r="A29" s="35">
        <v>22</v>
      </c>
      <c r="B29" s="34"/>
      <c r="C29" s="50"/>
      <c r="D29" s="53"/>
      <c r="E29" s="16"/>
      <c r="F29" s="13"/>
      <c r="G29" s="40"/>
      <c r="H29" s="6" t="str">
        <f>IF(F29="","",N29-VLOOKUP(F29,Parts!A:F,6,FALSE))</f>
        <v/>
      </c>
      <c r="I29" s="6" t="str">
        <f>IF(F29="","",IF(F29=0,"",H29-(Standards!D$14*L$5)-(Standards!D$15*K$5)))</f>
        <v/>
      </c>
      <c r="J29" s="12" t="str">
        <f>IF(F29="","",VLOOKUP(F29,Parts!A:J,10,FALSE))</f>
        <v/>
      </c>
      <c r="K29" s="12" t="str">
        <f>IF(F29="","",VLOOKUP(F29,Parts!A:N,14,FALSE))</f>
        <v/>
      </c>
      <c r="L29" s="33"/>
      <c r="M29" s="33"/>
      <c r="N29" s="8" t="str">
        <f t="shared" si="0"/>
        <v/>
      </c>
      <c r="O29" s="8">
        <f t="shared" si="1"/>
        <v>3.5000000000000003E-2</v>
      </c>
      <c r="P29" s="8" t="str">
        <f t="shared" si="3"/>
        <v/>
      </c>
      <c r="Q29" s="8">
        <f>(B29*Standards!D$15)+Q28</f>
        <v>1.1339413077138771</v>
      </c>
      <c r="R29" s="8">
        <f t="shared" si="2"/>
        <v>0.28000000000000003</v>
      </c>
      <c r="T29" s="59"/>
      <c r="U29" s="59"/>
      <c r="V29" s="59"/>
      <c r="W29" s="59"/>
      <c r="X29" s="59"/>
      <c r="Y29" s="59"/>
      <c r="Z29" s="59"/>
    </row>
    <row r="30" spans="1:26" s="8" customFormat="1" x14ac:dyDescent="0.25">
      <c r="A30" s="35">
        <v>23</v>
      </c>
      <c r="B30" s="34"/>
      <c r="C30" s="50"/>
      <c r="D30" s="53"/>
      <c r="E30" s="16"/>
      <c r="F30" s="13"/>
      <c r="G30" s="40"/>
      <c r="H30" s="6" t="str">
        <f>IF(F30="","",N30-VLOOKUP(F30,Parts!A:F,6,FALSE))</f>
        <v/>
      </c>
      <c r="I30" s="6" t="str">
        <f>IF(F30="","",IF(F30=0,"",H30-(Standards!D$14*L$5)-(Standards!D$15*K$5)))</f>
        <v/>
      </c>
      <c r="J30" s="12" t="str">
        <f>IF(F30="","",VLOOKUP(F30,Parts!A:J,10,FALSE))</f>
        <v/>
      </c>
      <c r="K30" s="12" t="str">
        <f>IF(F30="","",VLOOKUP(F30,Parts!A:N,14,FALSE))</f>
        <v/>
      </c>
      <c r="L30" s="33"/>
      <c r="M30" s="33"/>
      <c r="N30" s="8" t="str">
        <f t="shared" si="0"/>
        <v/>
      </c>
      <c r="O30" s="8">
        <f t="shared" si="1"/>
        <v>3.5000000000000003E-2</v>
      </c>
      <c r="P30" s="8" t="str">
        <f t="shared" si="3"/>
        <v/>
      </c>
      <c r="Q30" s="8">
        <f>(B30*Standards!D$15)+Q29</f>
        <v>1.1339413077138771</v>
      </c>
      <c r="R30" s="8">
        <f t="shared" si="2"/>
        <v>0.28000000000000003</v>
      </c>
      <c r="T30" s="59"/>
      <c r="U30" s="59"/>
      <c r="V30" s="59"/>
      <c r="W30" s="59"/>
      <c r="X30" s="59"/>
      <c r="Y30" s="59"/>
      <c r="Z30" s="59"/>
    </row>
    <row r="31" spans="1:26" s="8" customFormat="1" x14ac:dyDescent="0.25">
      <c r="A31" s="35">
        <v>24</v>
      </c>
      <c r="B31" s="34"/>
      <c r="C31" s="50"/>
      <c r="D31" s="53"/>
      <c r="E31" s="16"/>
      <c r="F31" s="13"/>
      <c r="G31" s="40"/>
      <c r="H31" s="6" t="str">
        <f>IF(F31="","",N31-VLOOKUP(F31,Parts!A:F,6,FALSE))</f>
        <v/>
      </c>
      <c r="I31" s="6" t="str">
        <f>IF(F31="","",IF(F31=0,"",H31-(Standards!D$14*L$5)-(Standards!D$15*K$5)))</f>
        <v/>
      </c>
      <c r="J31" s="12" t="str">
        <f>IF(F31="","",VLOOKUP(F31,Parts!A:J,10,FALSE))</f>
        <v/>
      </c>
      <c r="K31" s="12" t="str">
        <f>IF(F31="","",VLOOKUP(F31,Parts!A:N,14,FALSE))</f>
        <v/>
      </c>
      <c r="L31" s="33"/>
      <c r="M31" s="33"/>
      <c r="N31" s="8" t="str">
        <f t="shared" si="0"/>
        <v/>
      </c>
      <c r="O31" s="8">
        <f t="shared" si="1"/>
        <v>3.5000000000000003E-2</v>
      </c>
      <c r="P31" s="8" t="str">
        <f t="shared" si="3"/>
        <v/>
      </c>
      <c r="Q31" s="8">
        <f>(B31*Standards!D$15)+Q30</f>
        <v>1.1339413077138771</v>
      </c>
      <c r="R31" s="8">
        <f t="shared" si="2"/>
        <v>0.28000000000000003</v>
      </c>
      <c r="T31" s="59"/>
      <c r="U31" s="59"/>
      <c r="V31" s="59"/>
      <c r="W31" s="59"/>
      <c r="X31" s="59"/>
      <c r="Y31" s="59"/>
      <c r="Z31" s="59"/>
    </row>
    <row r="32" spans="1:26" s="8" customFormat="1" x14ac:dyDescent="0.25">
      <c r="A32" s="35">
        <v>25</v>
      </c>
      <c r="B32" s="34"/>
      <c r="C32" s="50"/>
      <c r="D32" s="53"/>
      <c r="E32" s="16"/>
      <c r="F32" s="13"/>
      <c r="G32" s="40"/>
      <c r="H32" s="6" t="str">
        <f>IF(F32="","",N32-VLOOKUP(F32,Parts!A:F,6,FALSE))</f>
        <v/>
      </c>
      <c r="I32" s="6" t="str">
        <f>IF(F32="","",IF(F32=0,"",H32-(Standards!D$14*L$5)-(Standards!D$15*K$5)))</f>
        <v/>
      </c>
      <c r="J32" s="12" t="str">
        <f>IF(F32="","",VLOOKUP(F32,Parts!A:J,10,FALSE))</f>
        <v/>
      </c>
      <c r="K32" s="12" t="str">
        <f>IF(F32="","",VLOOKUP(F32,Parts!A:N,14,FALSE))</f>
        <v/>
      </c>
      <c r="L32" s="33"/>
      <c r="M32" s="33"/>
      <c r="N32" s="8" t="str">
        <f t="shared" si="0"/>
        <v/>
      </c>
      <c r="O32" s="8">
        <f t="shared" si="1"/>
        <v>3.5000000000000003E-2</v>
      </c>
      <c r="P32" s="8" t="str">
        <f t="shared" si="3"/>
        <v/>
      </c>
      <c r="Q32" s="8">
        <f>(B32*Standards!D$15)+Q31</f>
        <v>1.1339413077138771</v>
      </c>
      <c r="R32" s="8">
        <f t="shared" si="2"/>
        <v>0.28000000000000003</v>
      </c>
      <c r="T32" s="59"/>
      <c r="U32" s="59"/>
      <c r="V32" s="59"/>
      <c r="W32" s="59"/>
      <c r="X32" s="59"/>
      <c r="Y32" s="59"/>
      <c r="Z32" s="59"/>
    </row>
    <row r="33" spans="1:26" s="8" customFormat="1" x14ac:dyDescent="0.25">
      <c r="A33" s="35">
        <v>26</v>
      </c>
      <c r="B33" s="34"/>
      <c r="C33" s="50"/>
      <c r="D33" s="53"/>
      <c r="E33" s="16"/>
      <c r="F33" s="13"/>
      <c r="G33" s="40"/>
      <c r="H33" s="6" t="str">
        <f>IF(F33="","",N33-VLOOKUP(F33,Parts!A:F,6,FALSE))</f>
        <v/>
      </c>
      <c r="I33" s="6" t="str">
        <f>IF(F33="","",IF(F33=0,"",H33-(Standards!D$14*L$5)-(Standards!D$15*K$5)))</f>
        <v/>
      </c>
      <c r="J33" s="12" t="str">
        <f>IF(F33="","",VLOOKUP(F33,Parts!A:J,10,FALSE))</f>
        <v/>
      </c>
      <c r="K33" s="12" t="str">
        <f>IF(F33="","",VLOOKUP(F33,Parts!A:N,14,FALSE))</f>
        <v/>
      </c>
      <c r="L33" s="33"/>
      <c r="M33" s="33"/>
      <c r="N33" s="8" t="str">
        <f t="shared" si="0"/>
        <v/>
      </c>
      <c r="O33" s="8">
        <f t="shared" si="1"/>
        <v>3.5000000000000003E-2</v>
      </c>
      <c r="P33" s="8" t="str">
        <f t="shared" si="3"/>
        <v/>
      </c>
      <c r="Q33" s="8">
        <f>(B33*Standards!D$15)+Q32</f>
        <v>1.1339413077138771</v>
      </c>
      <c r="R33" s="8">
        <f t="shared" si="2"/>
        <v>0.28000000000000003</v>
      </c>
      <c r="T33" s="59"/>
      <c r="U33" s="59"/>
      <c r="V33" s="59"/>
      <c r="W33" s="59"/>
      <c r="X33" s="59"/>
      <c r="Y33" s="59"/>
      <c r="Z33" s="59"/>
    </row>
    <row r="34" spans="1:26" s="8" customFormat="1" x14ac:dyDescent="0.25">
      <c r="A34" s="35">
        <v>27</v>
      </c>
      <c r="B34" s="34"/>
      <c r="C34" s="50"/>
      <c r="D34" s="53"/>
      <c r="E34" s="16"/>
      <c r="F34" s="13"/>
      <c r="G34" s="40"/>
      <c r="H34" s="6" t="str">
        <f>IF(F34="","",N34-VLOOKUP(F34,Parts!A:F,6,FALSE))</f>
        <v/>
      </c>
      <c r="I34" s="6" t="str">
        <f>IF(F34="","",IF(F34=0,"",H34-(Standards!D$14*L$5)-(Standards!D$15*K$5)))</f>
        <v/>
      </c>
      <c r="J34" s="12" t="str">
        <f>IF(F34="","",VLOOKUP(F34,Parts!A:J,10,FALSE))</f>
        <v/>
      </c>
      <c r="K34" s="12" t="str">
        <f>IF(F34="","",VLOOKUP(F34,Parts!A:N,14,FALSE))</f>
        <v/>
      </c>
      <c r="L34" s="33"/>
      <c r="M34" s="33"/>
      <c r="N34" s="8" t="str">
        <f t="shared" si="0"/>
        <v/>
      </c>
      <c r="O34" s="8">
        <f t="shared" si="1"/>
        <v>3.5000000000000003E-2</v>
      </c>
      <c r="P34" s="8" t="str">
        <f t="shared" si="3"/>
        <v/>
      </c>
      <c r="Q34" s="8">
        <f>(B34*Standards!D$15)+Q33</f>
        <v>1.1339413077138771</v>
      </c>
      <c r="R34" s="8">
        <f t="shared" si="2"/>
        <v>0.28000000000000003</v>
      </c>
      <c r="T34" s="59"/>
      <c r="U34" s="59"/>
      <c r="V34" s="59"/>
      <c r="W34" s="59"/>
      <c r="X34" s="59"/>
      <c r="Y34" s="59"/>
      <c r="Z34" s="59"/>
    </row>
    <row r="35" spans="1:26" s="8" customFormat="1" x14ac:dyDescent="0.25">
      <c r="A35" s="35">
        <v>28</v>
      </c>
      <c r="B35" s="34"/>
      <c r="C35" s="50"/>
      <c r="D35" s="53"/>
      <c r="E35" s="16"/>
      <c r="F35" s="13"/>
      <c r="G35" s="40"/>
      <c r="H35" s="6" t="str">
        <f>IF(F35="","",N35-VLOOKUP(F35,Parts!A:F,6,FALSE))</f>
        <v/>
      </c>
      <c r="I35" s="6" t="str">
        <f>IF(F35="","",IF(F35=0,"",H35-(Standards!D$14*L$5)-(Standards!D$15*K$5)))</f>
        <v/>
      </c>
      <c r="J35" s="12" t="str">
        <f>IF(F35="","",VLOOKUP(F35,Parts!A:J,10,FALSE))</f>
        <v/>
      </c>
      <c r="K35" s="12" t="str">
        <f>IF(F35="","",VLOOKUP(F35,Parts!A:N,14,FALSE))</f>
        <v/>
      </c>
      <c r="L35" s="33"/>
      <c r="M35" s="33"/>
      <c r="N35" s="8" t="str">
        <f t="shared" si="0"/>
        <v/>
      </c>
      <c r="O35" s="8">
        <f t="shared" si="1"/>
        <v>3.5000000000000003E-2</v>
      </c>
      <c r="P35" s="8" t="str">
        <f t="shared" si="3"/>
        <v/>
      </c>
      <c r="Q35" s="8">
        <f>(B35*Standards!D$15)+Q34</f>
        <v>1.1339413077138771</v>
      </c>
      <c r="R35" s="8">
        <f t="shared" si="2"/>
        <v>0.28000000000000003</v>
      </c>
      <c r="T35" s="59"/>
      <c r="U35" s="59"/>
      <c r="V35" s="59"/>
      <c r="W35" s="59"/>
      <c r="X35" s="59"/>
      <c r="Y35" s="59"/>
      <c r="Z35" s="59"/>
    </row>
    <row r="36" spans="1:26" s="8" customFormat="1" x14ac:dyDescent="0.25">
      <c r="A36" s="35">
        <v>29</v>
      </c>
      <c r="B36" s="34"/>
      <c r="C36" s="50"/>
      <c r="D36" s="53"/>
      <c r="E36" s="16"/>
      <c r="F36" s="13"/>
      <c r="G36" s="40"/>
      <c r="H36" s="6" t="str">
        <f>IF(F36="","",N36-VLOOKUP(F36,Parts!A:F,6,FALSE))</f>
        <v/>
      </c>
      <c r="I36" s="6" t="str">
        <f>IF(F36="","",IF(F36=0,"",H36-(Standards!D$14*L$5)-(Standards!D$15*K$5)))</f>
        <v/>
      </c>
      <c r="J36" s="12" t="str">
        <f>IF(F36="","",VLOOKUP(F36,Parts!A:J,10,FALSE))</f>
        <v/>
      </c>
      <c r="K36" s="12" t="str">
        <f>IF(F36="","",VLOOKUP(F36,Parts!A:N,14,FALSE))</f>
        <v/>
      </c>
      <c r="L36" s="33"/>
      <c r="M36" s="33"/>
      <c r="N36" s="8" t="str">
        <f t="shared" si="0"/>
        <v/>
      </c>
      <c r="O36" s="8">
        <f t="shared" si="1"/>
        <v>3.5000000000000003E-2</v>
      </c>
      <c r="P36" s="8" t="str">
        <f t="shared" si="3"/>
        <v/>
      </c>
      <c r="Q36" s="8">
        <f>(B36*Standards!D$15)+Q35</f>
        <v>1.1339413077138771</v>
      </c>
      <c r="R36" s="8">
        <f t="shared" si="2"/>
        <v>0.28000000000000003</v>
      </c>
      <c r="T36" s="59"/>
      <c r="U36" s="59"/>
      <c r="V36" s="59"/>
      <c r="W36" s="59"/>
      <c r="X36" s="59"/>
      <c r="Y36" s="59"/>
      <c r="Z36" s="59"/>
    </row>
    <row r="37" spans="1:26" s="8" customFormat="1" x14ac:dyDescent="0.25">
      <c r="A37" s="35">
        <v>30</v>
      </c>
      <c r="B37" s="34"/>
      <c r="C37" s="50"/>
      <c r="D37" s="53"/>
      <c r="E37" s="16"/>
      <c r="F37" s="13"/>
      <c r="G37" s="40"/>
      <c r="H37" s="6" t="str">
        <f>IF(F37="","",N37-VLOOKUP(F37,Parts!A:F,6,FALSE))</f>
        <v/>
      </c>
      <c r="I37" s="6" t="str">
        <f>IF(F37="","",IF(F37=0,"",H37-(Standards!D$14*L$5)-(Standards!D$15*K$5)))</f>
        <v/>
      </c>
      <c r="J37" s="12" t="str">
        <f>IF(F37="","",VLOOKUP(F37,Parts!A:J,10,FALSE))</f>
        <v/>
      </c>
      <c r="K37" s="12" t="str">
        <f>IF(F37="","",VLOOKUP(F37,Parts!A:N,14,FALSE))</f>
        <v/>
      </c>
      <c r="L37" s="33"/>
      <c r="M37" s="33"/>
      <c r="N37" s="8" t="str">
        <f t="shared" si="0"/>
        <v/>
      </c>
      <c r="O37" s="8">
        <f t="shared" si="1"/>
        <v>3.5000000000000003E-2</v>
      </c>
      <c r="P37" s="8" t="str">
        <f t="shared" si="3"/>
        <v/>
      </c>
      <c r="Q37" s="8">
        <f>(B37*Standards!D$15)+Q36</f>
        <v>1.1339413077138771</v>
      </c>
      <c r="R37" s="8">
        <f t="shared" si="2"/>
        <v>0.28000000000000003</v>
      </c>
      <c r="T37" s="59"/>
      <c r="U37" s="59"/>
      <c r="V37" s="59"/>
      <c r="W37" s="59"/>
      <c r="X37" s="59"/>
      <c r="Y37" s="59"/>
      <c r="Z37" s="59"/>
    </row>
    <row r="38" spans="1:26" s="8" customFormat="1" x14ac:dyDescent="0.25">
      <c r="A38" s="35">
        <v>31</v>
      </c>
      <c r="B38" s="34"/>
      <c r="C38" s="50"/>
      <c r="D38" s="53"/>
      <c r="E38" s="16"/>
      <c r="F38" s="13"/>
      <c r="G38" s="40"/>
      <c r="H38" s="6" t="str">
        <f>IF(F38="","",N38-VLOOKUP(F38,Parts!A:F,6,FALSE))</f>
        <v/>
      </c>
      <c r="I38" s="6" t="str">
        <f>IF(F38="","",IF(F38=0,"",H38-(Standards!D$14*L$5)-(Standards!D$15*K$5)))</f>
        <v/>
      </c>
      <c r="J38" s="12" t="str">
        <f>IF(F38="","",VLOOKUP(F38,Parts!A:J,10,FALSE))</f>
        <v/>
      </c>
      <c r="K38" s="12" t="str">
        <f>IF(F38="","",VLOOKUP(F38,Parts!A:N,14,FALSE))</f>
        <v/>
      </c>
      <c r="L38" s="33"/>
      <c r="M38" s="33"/>
      <c r="N38" s="8" t="str">
        <f t="shared" si="0"/>
        <v/>
      </c>
      <c r="O38" s="8">
        <f t="shared" si="1"/>
        <v>3.5000000000000003E-2</v>
      </c>
      <c r="P38" s="8" t="str">
        <f t="shared" si="3"/>
        <v/>
      </c>
      <c r="Q38" s="8">
        <f>(B38*Standards!D$15)+Q37</f>
        <v>1.1339413077138771</v>
      </c>
      <c r="R38" s="8">
        <f t="shared" si="2"/>
        <v>0.28000000000000003</v>
      </c>
      <c r="T38" s="59"/>
      <c r="U38" s="59"/>
      <c r="V38" s="59"/>
      <c r="W38" s="59"/>
      <c r="X38" s="59"/>
      <c r="Y38" s="59"/>
      <c r="Z38" s="59"/>
    </row>
    <row r="39" spans="1:26" s="8" customFormat="1" x14ac:dyDescent="0.25">
      <c r="A39" s="35">
        <v>32</v>
      </c>
      <c r="B39" s="34"/>
      <c r="C39" s="50"/>
      <c r="D39" s="53"/>
      <c r="E39" s="16"/>
      <c r="F39" s="13"/>
      <c r="G39" s="40"/>
      <c r="H39" s="6" t="str">
        <f>IF(F39="","",N39-VLOOKUP(F39,Parts!A:F,6,FALSE))</f>
        <v/>
      </c>
      <c r="I39" s="6" t="str">
        <f>IF(F39="","",IF(F39=0,"",H39-(Standards!D$14*L$5)-(Standards!D$15*K$5)))</f>
        <v/>
      </c>
      <c r="J39" s="12" t="str">
        <f>IF(F39="","",VLOOKUP(F39,Parts!A:J,10,FALSE))</f>
        <v/>
      </c>
      <c r="K39" s="12" t="str">
        <f>IF(F39="","",VLOOKUP(F39,Parts!A:N,14,FALSE))</f>
        <v/>
      </c>
      <c r="L39" s="33"/>
      <c r="M39" s="33"/>
      <c r="N39" s="8" t="str">
        <f t="shared" si="0"/>
        <v/>
      </c>
      <c r="O39" s="8">
        <f t="shared" si="1"/>
        <v>3.5000000000000003E-2</v>
      </c>
      <c r="P39" s="8" t="str">
        <f t="shared" si="3"/>
        <v/>
      </c>
      <c r="Q39" s="8">
        <f>(B39*Standards!D$15)+Q38</f>
        <v>1.1339413077138771</v>
      </c>
      <c r="R39" s="8">
        <f t="shared" si="2"/>
        <v>0.28000000000000003</v>
      </c>
      <c r="T39" s="59"/>
      <c r="U39" s="59"/>
      <c r="V39" s="59"/>
      <c r="W39" s="59"/>
      <c r="X39" s="59"/>
      <c r="Y39" s="59"/>
      <c r="Z39" s="59"/>
    </row>
    <row r="41" spans="1:26" ht="18.75" x14ac:dyDescent="0.3">
      <c r="A41" s="94" t="s">
        <v>189</v>
      </c>
      <c r="C41" s="96" t="s">
        <v>191</v>
      </c>
      <c r="K41" s="93" t="s">
        <v>190</v>
      </c>
      <c r="L41" s="95">
        <f>P9</f>
        <v>-10.131326428597555</v>
      </c>
    </row>
    <row r="42" spans="1:26" s="7" customFormat="1" ht="40.5" customHeight="1" x14ac:dyDescent="0.25">
      <c r="A42" s="20" t="s">
        <v>151</v>
      </c>
      <c r="B42" s="21" t="s">
        <v>152</v>
      </c>
      <c r="C42" s="21" t="s">
        <v>153</v>
      </c>
      <c r="D42" s="19" t="s">
        <v>154</v>
      </c>
      <c r="E42" s="19" t="s">
        <v>155</v>
      </c>
      <c r="F42" s="19" t="s">
        <v>156</v>
      </c>
      <c r="G42" s="19" t="s">
        <v>157</v>
      </c>
      <c r="H42" s="19" t="s">
        <v>158</v>
      </c>
      <c r="I42" s="19" t="s">
        <v>159</v>
      </c>
      <c r="J42" s="19" t="s">
        <v>87</v>
      </c>
      <c r="K42" s="20" t="s">
        <v>160</v>
      </c>
      <c r="L42" s="19" t="s">
        <v>161</v>
      </c>
      <c r="M42" s="20" t="s">
        <v>162</v>
      </c>
      <c r="N42" s="8" t="s">
        <v>163</v>
      </c>
      <c r="O42" s="8" t="s">
        <v>164</v>
      </c>
      <c r="P42" s="8" t="s">
        <v>165</v>
      </c>
      <c r="Q42" s="8">
        <f>Q9</f>
        <v>8.5600029260798974E-2</v>
      </c>
      <c r="R42" s="8">
        <f>R9</f>
        <v>7.0000000000000007E-2</v>
      </c>
      <c r="S42" s="36"/>
      <c r="T42" s="61"/>
      <c r="U42" s="61"/>
      <c r="V42" s="61"/>
      <c r="W42" s="61"/>
      <c r="X42" s="61"/>
      <c r="Y42" s="61"/>
      <c r="Z42" s="61"/>
    </row>
    <row r="43" spans="1:26" x14ac:dyDescent="0.25">
      <c r="A43" s="35">
        <v>1</v>
      </c>
      <c r="B43" s="34">
        <f>236+100</f>
        <v>336</v>
      </c>
      <c r="C43" s="50" t="s">
        <v>168</v>
      </c>
      <c r="D43" s="51" t="s">
        <v>200</v>
      </c>
      <c r="E43" s="18" t="s">
        <v>91</v>
      </c>
      <c r="F43" s="13">
        <v>4</v>
      </c>
      <c r="G43" s="40"/>
      <c r="H43" s="6">
        <f>IF(F43="","",N43-VLOOKUP(F43,Parts!A:F,6,FALSE))</f>
        <v>-17.596746808744104</v>
      </c>
      <c r="I43" s="6">
        <f>IF(F43="","",IF(F43=0,"",H43-(Standards!D$14*L$5)-(Standards!D$15*K$5)))</f>
        <v>-17.952194803769768</v>
      </c>
      <c r="J43" s="12" t="str">
        <f>IF(F43="","",VLOOKUP(F43,Parts!A:J,10,FALSE))</f>
        <v>USBM1X4</v>
      </c>
      <c r="K43" s="12" t="str">
        <f>IF(F43="","",VLOOKUP(F43,Parts!A:N,14,FALSE))</f>
        <v>PLO-U-104-SCA-SCA</v>
      </c>
      <c r="L43" s="33" t="s">
        <v>280</v>
      </c>
      <c r="M43" s="33" t="s">
        <v>281</v>
      </c>
      <c r="N43" s="8">
        <f>IF(F43="","",L$41-Q43-R43)</f>
        <v>-10.356746808744104</v>
      </c>
      <c r="O43" s="8">
        <f t="shared" ref="O43:O73" si="4">VLOOKUP(H$5,Losses,3,FALSE)</f>
        <v>3.5000000000000003E-2</v>
      </c>
      <c r="P43" s="8">
        <f>IF(F43="","",N43-O43)</f>
        <v>-10.391746808744104</v>
      </c>
      <c r="Q43" s="8">
        <f>(B43*Standards!D$15)+Q42</f>
        <v>0.12042038014654771</v>
      </c>
      <c r="R43" s="8">
        <f t="shared" ref="R43:R73" si="5">IF(F43&lt;&gt;"",VLOOKUP(H$5,Losses,3,FALSE)+R42,R42)</f>
        <v>0.10500000000000001</v>
      </c>
    </row>
    <row r="44" spans="1:26" x14ac:dyDescent="0.25">
      <c r="A44" s="35">
        <v>2</v>
      </c>
      <c r="B44" s="34">
        <f>254+100</f>
        <v>354</v>
      </c>
      <c r="C44" s="50" t="s">
        <v>168</v>
      </c>
      <c r="D44" s="51" t="s">
        <v>201</v>
      </c>
      <c r="E44" s="16" t="s">
        <v>91</v>
      </c>
      <c r="F44" s="13">
        <v>8</v>
      </c>
      <c r="G44" s="55" t="s">
        <v>195</v>
      </c>
      <c r="H44" s="6">
        <f>IF(F44="","",N44-VLOOKUP(F44,Parts!A:F,6,FALSE))</f>
        <v>-21.06843253557016</v>
      </c>
      <c r="I44" s="6">
        <f>IF(F44="","",IF(F44=0,"",H44-(Standards!D$14*L$5)-(Standards!D$15*K$5)))</f>
        <v>-21.423880530595824</v>
      </c>
      <c r="J44" s="12" t="str">
        <f>IF(F44="","",VLOOKUP(F44,Parts!A:J,10,FALSE))</f>
        <v>USBM1X8</v>
      </c>
      <c r="K44" s="12" t="str">
        <f>IF(F44="","",VLOOKUP(F44,Parts!A:N,14,FALSE))</f>
        <v>PLO-U-108-SCA-SCA</v>
      </c>
      <c r="L44" s="33" t="s">
        <v>282</v>
      </c>
      <c r="M44" s="33" t="s">
        <v>283</v>
      </c>
      <c r="N44" s="8">
        <f>IF(F44="","",L$41-Q44-R44)</f>
        <v>-10.42843253557016</v>
      </c>
      <c r="O44" s="8">
        <f t="shared" si="4"/>
        <v>3.5000000000000003E-2</v>
      </c>
      <c r="P44" s="8">
        <f t="shared" ref="P44:P73" si="6">IF(F44="","",N44-O44)</f>
        <v>-10.46343253557016</v>
      </c>
      <c r="Q44" s="8">
        <f>(B44*Standards!D$15)+Q43</f>
        <v>0.15710610697260441</v>
      </c>
      <c r="R44" s="8">
        <f t="shared" si="5"/>
        <v>0.14000000000000001</v>
      </c>
      <c r="S44" s="8" t="s">
        <v>195</v>
      </c>
    </row>
    <row r="45" spans="1:26" x14ac:dyDescent="0.25">
      <c r="A45" s="35">
        <v>3</v>
      </c>
      <c r="B45" s="34">
        <f>555+100</f>
        <v>655</v>
      </c>
      <c r="C45" s="50" t="s">
        <v>168</v>
      </c>
      <c r="D45" s="90" t="s">
        <v>205</v>
      </c>
      <c r="E45" s="17" t="s">
        <v>91</v>
      </c>
      <c r="F45" s="13">
        <v>8</v>
      </c>
      <c r="G45" s="40"/>
      <c r="H45" s="6">
        <f>IF(F45="","",N45-VLOOKUP(F45,Parts!A:F,6,FALSE))</f>
        <v>-21.171311493398036</v>
      </c>
      <c r="I45" s="6">
        <f>IF(F45="","",IF(F45=0,"",H45-(Standards!D$14*L$5)-(Standards!D$15*K$5)))</f>
        <v>-21.5267594884237</v>
      </c>
      <c r="J45" s="12" t="str">
        <f>IF(F45="","",VLOOKUP(F45,Parts!A:J,10,FALSE))</f>
        <v>USBM1X8</v>
      </c>
      <c r="K45" s="12" t="str">
        <f>IF(F45="","",VLOOKUP(F45,Parts!A:N,14,FALSE))</f>
        <v>PLO-U-108-SCA-SCA</v>
      </c>
      <c r="L45" s="33" t="s">
        <v>284</v>
      </c>
      <c r="M45" s="33" t="s">
        <v>285</v>
      </c>
      <c r="N45" s="8">
        <f>IF(F45="","",L$41-Q45-R45)</f>
        <v>-10.531311493398034</v>
      </c>
      <c r="O45" s="8">
        <f t="shared" si="4"/>
        <v>3.5000000000000003E-2</v>
      </c>
      <c r="P45" s="8">
        <f t="shared" si="6"/>
        <v>-10.566311493398034</v>
      </c>
      <c r="Q45" s="8">
        <f>(B45*Standards!D$15)+Q44</f>
        <v>0.2249850648004777</v>
      </c>
      <c r="R45" s="8">
        <f t="shared" si="5"/>
        <v>0.17500000000000002</v>
      </c>
    </row>
    <row r="46" spans="1:26" x14ac:dyDescent="0.25">
      <c r="A46" s="35">
        <v>4</v>
      </c>
      <c r="B46" s="34">
        <f>258+100</f>
        <v>358</v>
      </c>
      <c r="C46" s="50" t="s">
        <v>168</v>
      </c>
      <c r="D46" s="51" t="s">
        <v>206</v>
      </c>
      <c r="E46" s="16" t="s">
        <v>91</v>
      </c>
      <c r="F46" s="13">
        <v>0</v>
      </c>
      <c r="G46" s="56"/>
      <c r="H46" s="6">
        <f>IF(F46="","",N46-VLOOKUP(F46,Parts!A:F,6,FALSE))</f>
        <v>-10.603411748210826</v>
      </c>
      <c r="I46" s="6" t="str">
        <f>IF(F46="","",IF(F46=0,"",H46-(Standards!D$14*L$5)-(Standards!D$15*K$5)))</f>
        <v/>
      </c>
      <c r="J46" s="12" t="str">
        <f>IF(F46="","",VLOOKUP(F46,Parts!A:J,10,FALSE))</f>
        <v>N/A</v>
      </c>
      <c r="K46" s="12" t="str">
        <f>IF(F46="","",VLOOKUP(F46,Parts!A:N,14,FALSE))</f>
        <v>N/A</v>
      </c>
      <c r="L46" s="33"/>
      <c r="M46" s="33"/>
      <c r="N46" s="8">
        <f>IF(F46="","",L$41-Q46-R46)</f>
        <v>-10.603411748210826</v>
      </c>
      <c r="O46" s="8">
        <f t="shared" si="4"/>
        <v>3.5000000000000003E-2</v>
      </c>
      <c r="P46" s="8">
        <f t="shared" si="6"/>
        <v>-10.638411748210826</v>
      </c>
      <c r="Q46" s="8">
        <f>(B46*Standards!D$15)+Q45</f>
        <v>0.26208531961326953</v>
      </c>
      <c r="R46" s="8">
        <f t="shared" si="5"/>
        <v>0.21000000000000002</v>
      </c>
    </row>
    <row r="47" spans="1:26" x14ac:dyDescent="0.25">
      <c r="A47" s="35">
        <v>5</v>
      </c>
      <c r="B47" s="34">
        <f>283+100</f>
        <v>383</v>
      </c>
      <c r="C47" s="50" t="s">
        <v>168</v>
      </c>
      <c r="D47" s="90" t="s">
        <v>207</v>
      </c>
      <c r="E47" s="16" t="s">
        <v>91</v>
      </c>
      <c r="F47" s="13">
        <v>4</v>
      </c>
      <c r="G47" s="55"/>
      <c r="H47" s="6">
        <f>IF(F47="","",N47-VLOOKUP(F47,Parts!A:F,6,FALSE))</f>
        <v>-17.918102802940709</v>
      </c>
      <c r="I47" s="6">
        <f>IF(F47="","",IF(F47=0,"",H47-(Standards!D$14*L$5)-(Standards!D$15*K$5)))</f>
        <v>-18.273550797966372</v>
      </c>
      <c r="J47" s="12" t="str">
        <f>IF(F47="","",VLOOKUP(F47,Parts!A:J,10,FALSE))</f>
        <v>USBM1X4</v>
      </c>
      <c r="K47" s="12" t="str">
        <f>IF(F47="","",VLOOKUP(F47,Parts!A:N,14,FALSE))</f>
        <v>PLO-U-104-SCA-SCA</v>
      </c>
      <c r="L47" s="33" t="s">
        <v>286</v>
      </c>
      <c r="M47" s="33" t="s">
        <v>287</v>
      </c>
      <c r="N47" s="8">
        <f>IF(F47="","",L$41-Q47-R47)</f>
        <v>-10.67810280294071</v>
      </c>
      <c r="O47" s="8">
        <f t="shared" si="4"/>
        <v>3.5000000000000003E-2</v>
      </c>
      <c r="P47" s="8">
        <f t="shared" si="6"/>
        <v>-10.71310280294071</v>
      </c>
      <c r="Q47" s="8">
        <f>(B47*Standards!D$15)+Q46</f>
        <v>0.30177637434315574</v>
      </c>
      <c r="R47" s="8">
        <f t="shared" si="5"/>
        <v>0.24500000000000002</v>
      </c>
    </row>
    <row r="48" spans="1:26" x14ac:dyDescent="0.25">
      <c r="A48" s="35">
        <v>6</v>
      </c>
      <c r="B48" s="34">
        <f>388+100</f>
        <v>488</v>
      </c>
      <c r="C48" s="50" t="s">
        <v>168</v>
      </c>
      <c r="D48" s="90" t="s">
        <v>208</v>
      </c>
      <c r="E48" s="16" t="s">
        <v>91</v>
      </c>
      <c r="F48" s="13">
        <v>4</v>
      </c>
      <c r="G48" s="56"/>
      <c r="H48" s="6">
        <f>IF(F48="","",N48-VLOOKUP(F48,Parts!A:F,6,FALSE))</f>
        <v>-18.003675217322392</v>
      </c>
      <c r="I48" s="6">
        <f>IF(F48="","",IF(F48=0,"",H48-(Standards!D$14*L$5)-(Standards!D$15*K$5)))</f>
        <v>-18.359123212348056</v>
      </c>
      <c r="J48" s="12" t="str">
        <f>IF(F48="","",VLOOKUP(F48,Parts!A:J,10,FALSE))</f>
        <v>USBM1X4</v>
      </c>
      <c r="K48" s="12" t="str">
        <f>IF(F48="","",VLOOKUP(F48,Parts!A:N,14,FALSE))</f>
        <v>PLO-U-104-SCA-SCA</v>
      </c>
      <c r="L48" s="33" t="s">
        <v>288</v>
      </c>
      <c r="M48" s="33" t="s">
        <v>289</v>
      </c>
      <c r="N48" s="8">
        <f>IF(F48="","",L$41-Q48-R48)</f>
        <v>-10.763675217322392</v>
      </c>
      <c r="O48" s="8">
        <f t="shared" si="4"/>
        <v>3.5000000000000003E-2</v>
      </c>
      <c r="P48" s="8">
        <f t="shared" si="6"/>
        <v>-10.798675217322392</v>
      </c>
      <c r="Q48" s="8">
        <f>(B48*Standards!D$15)+Q47</f>
        <v>0.35234878872483844</v>
      </c>
      <c r="R48" s="8">
        <f t="shared" si="5"/>
        <v>0.28000000000000003</v>
      </c>
    </row>
    <row r="49" spans="1:26" x14ac:dyDescent="0.25">
      <c r="A49" s="35">
        <v>7</v>
      </c>
      <c r="B49" s="34">
        <f>565+100</f>
        <v>665</v>
      </c>
      <c r="C49" s="50" t="s">
        <v>168</v>
      </c>
      <c r="D49" s="90" t="s">
        <v>209</v>
      </c>
      <c r="E49" s="16" t="s">
        <v>91</v>
      </c>
      <c r="F49" s="13">
        <v>4</v>
      </c>
      <c r="G49" s="56"/>
      <c r="H49" s="6">
        <f>IF(F49="","",N49-VLOOKUP(F49,Parts!A:F,6,FALSE))</f>
        <v>-18.107590495117105</v>
      </c>
      <c r="I49" s="6">
        <f>IF(F49="","",IF(F49=0,"",H49-(Standards!D$14*L$5)-(Standards!D$15*K$5)))</f>
        <v>-18.463038490142768</v>
      </c>
      <c r="J49" s="12" t="str">
        <f>IF(F49="","",VLOOKUP(F49,Parts!A:J,10,FALSE))</f>
        <v>USBM1X4</v>
      </c>
      <c r="K49" s="12" t="str">
        <f>IF(F49="","",VLOOKUP(F49,Parts!A:N,14,FALSE))</f>
        <v>PLO-U-104-SCA-SCA</v>
      </c>
      <c r="L49" s="33" t="s">
        <v>290</v>
      </c>
      <c r="M49" s="33" t="s">
        <v>291</v>
      </c>
      <c r="N49" s="8">
        <f>IF(F49="","",L$41-Q49-R49)</f>
        <v>-10.867590495117105</v>
      </c>
      <c r="O49" s="8">
        <f t="shared" si="4"/>
        <v>3.5000000000000003E-2</v>
      </c>
      <c r="P49" s="8">
        <f t="shared" si="6"/>
        <v>-10.902590495117105</v>
      </c>
      <c r="Q49" s="8">
        <f>(B49*Standards!D$15)+Q48</f>
        <v>0.42126406651954945</v>
      </c>
      <c r="R49" s="8">
        <f t="shared" si="5"/>
        <v>0.31500000000000006</v>
      </c>
    </row>
    <row r="50" spans="1:26" x14ac:dyDescent="0.25">
      <c r="A50" s="35">
        <v>8</v>
      </c>
      <c r="B50" s="34"/>
      <c r="C50" s="50"/>
      <c r="D50" s="51"/>
      <c r="E50" s="16"/>
      <c r="F50" s="13"/>
      <c r="G50" s="40"/>
      <c r="H50" s="6" t="str">
        <f>IF(F50="","",N50-VLOOKUP(F50,Parts!A:F,6,FALSE))</f>
        <v/>
      </c>
      <c r="I50" s="6" t="str">
        <f>IF(F50="","",IF(F50=0,"",H50-(Standards!D$14*L$5)-(Standards!D$15*K$5)))</f>
        <v/>
      </c>
      <c r="J50" s="12" t="str">
        <f>IF(F50="","",VLOOKUP(F50,Parts!A:J,10,FALSE))</f>
        <v/>
      </c>
      <c r="K50" s="12" t="str">
        <f>IF(F50="","",VLOOKUP(F50,Parts!A:N,14,FALSE))</f>
        <v/>
      </c>
      <c r="L50" s="33"/>
      <c r="M50" s="33"/>
      <c r="N50" s="8" t="str">
        <f>IF(F50="","",L$41-Q50-R50)</f>
        <v/>
      </c>
      <c r="O50" s="8">
        <f t="shared" si="4"/>
        <v>3.5000000000000003E-2</v>
      </c>
      <c r="P50" s="8" t="str">
        <f t="shared" si="6"/>
        <v/>
      </c>
      <c r="Q50" s="8">
        <f>(B50*Standards!D$15)+Q49</f>
        <v>0.42126406651954945</v>
      </c>
      <c r="R50" s="8">
        <f t="shared" si="5"/>
        <v>0.31500000000000006</v>
      </c>
    </row>
    <row r="51" spans="1:26" x14ac:dyDescent="0.25">
      <c r="A51" s="35">
        <v>9</v>
      </c>
      <c r="B51" s="34"/>
      <c r="C51" s="50"/>
      <c r="D51" s="52"/>
      <c r="E51" s="17"/>
      <c r="F51" s="13"/>
      <c r="G51" s="40"/>
      <c r="H51" s="6" t="str">
        <f>IF(F51="","",N51-VLOOKUP(F51,Parts!A:F,6,FALSE))</f>
        <v/>
      </c>
      <c r="I51" s="6" t="str">
        <f>IF(F51="","",IF(F51=0,"",H51-(Standards!D$14*L$5)-(Standards!D$15*K$5)))</f>
        <v/>
      </c>
      <c r="J51" s="12" t="str">
        <f>IF(F51="","",VLOOKUP(F51,Parts!A:J,10,FALSE))</f>
        <v/>
      </c>
      <c r="K51" s="12" t="str">
        <f>IF(F51="","",VLOOKUP(F51,Parts!A:N,14,FALSE))</f>
        <v/>
      </c>
      <c r="L51" s="33"/>
      <c r="M51" s="33"/>
      <c r="N51" s="8" t="str">
        <f>IF(F51="","",L$41-Q51-R51)</f>
        <v/>
      </c>
      <c r="O51" s="8">
        <f t="shared" si="4"/>
        <v>3.5000000000000003E-2</v>
      </c>
      <c r="P51" s="8" t="str">
        <f t="shared" si="6"/>
        <v/>
      </c>
      <c r="Q51" s="8">
        <f>(B51*Standards!D$15)+Q50</f>
        <v>0.42126406651954945</v>
      </c>
      <c r="R51" s="8">
        <f t="shared" si="5"/>
        <v>0.31500000000000006</v>
      </c>
    </row>
    <row r="52" spans="1:26" s="8" customFormat="1" x14ac:dyDescent="0.25">
      <c r="A52" s="35">
        <v>10</v>
      </c>
      <c r="B52" s="34"/>
      <c r="C52" s="50"/>
      <c r="D52" s="52"/>
      <c r="E52" s="17"/>
      <c r="F52" s="13"/>
      <c r="G52" s="40"/>
      <c r="H52" s="6" t="str">
        <f>IF(F52="","",N52-VLOOKUP(F52,Parts!A:F,6,FALSE))</f>
        <v/>
      </c>
      <c r="I52" s="6" t="str">
        <f>IF(F52="","",IF(F52=0,"",H52-(Standards!D$14*L$5)-(Standards!D$15*K$5)))</f>
        <v/>
      </c>
      <c r="J52" s="12" t="str">
        <f>IF(F52="","",VLOOKUP(F52,Parts!A:J,10,FALSE))</f>
        <v/>
      </c>
      <c r="K52" s="12" t="str">
        <f>IF(F52="","",VLOOKUP(F52,Parts!A:N,14,FALSE))</f>
        <v/>
      </c>
      <c r="L52" s="33"/>
      <c r="M52" s="33"/>
      <c r="N52" s="8" t="str">
        <f>IF(F52="","",L$41-Q52-R52)</f>
        <v/>
      </c>
      <c r="O52" s="8">
        <f t="shared" si="4"/>
        <v>3.5000000000000003E-2</v>
      </c>
      <c r="P52" s="8" t="str">
        <f t="shared" si="6"/>
        <v/>
      </c>
      <c r="Q52" s="8">
        <f>(B52*Standards!D$15)+Q51</f>
        <v>0.42126406651954945</v>
      </c>
      <c r="R52" s="8">
        <f t="shared" si="5"/>
        <v>0.31500000000000006</v>
      </c>
      <c r="T52" s="59"/>
      <c r="U52" s="59"/>
      <c r="V52" s="59"/>
      <c r="W52" s="59"/>
      <c r="X52" s="59"/>
      <c r="Y52" s="59"/>
      <c r="Z52" s="59"/>
    </row>
    <row r="53" spans="1:26" s="8" customFormat="1" x14ac:dyDescent="0.25">
      <c r="A53" s="35">
        <v>11</v>
      </c>
      <c r="B53" s="34"/>
      <c r="C53" s="50"/>
      <c r="D53" s="51"/>
      <c r="E53" s="18"/>
      <c r="F53" s="13"/>
      <c r="G53" s="40"/>
      <c r="H53" s="6" t="str">
        <f>IF(F53="","",N53-VLOOKUP(F53,Parts!A:F,6,FALSE))</f>
        <v/>
      </c>
      <c r="I53" s="6" t="str">
        <f>IF(F53="","",IF(F53=0,"",H53-(Standards!D$14*L$5)-(Standards!D$15*K$5)))</f>
        <v/>
      </c>
      <c r="J53" s="12" t="str">
        <f>IF(F53="","",VLOOKUP(F53,Parts!A:J,10,FALSE))</f>
        <v/>
      </c>
      <c r="K53" s="12" t="str">
        <f>IF(F53="","",VLOOKUP(F53,Parts!A:N,14,FALSE))</f>
        <v/>
      </c>
      <c r="L53" s="33"/>
      <c r="M53" s="33"/>
      <c r="N53" s="8" t="str">
        <f>IF(F53="","",L$41-Q53-R53)</f>
        <v/>
      </c>
      <c r="O53" s="8">
        <f t="shared" si="4"/>
        <v>3.5000000000000003E-2</v>
      </c>
      <c r="P53" s="8" t="str">
        <f t="shared" si="6"/>
        <v/>
      </c>
      <c r="Q53" s="8">
        <f>(B53*Standards!D$15)+Q52</f>
        <v>0.42126406651954945</v>
      </c>
      <c r="R53" s="8">
        <f t="shared" si="5"/>
        <v>0.31500000000000006</v>
      </c>
      <c r="T53" s="59"/>
      <c r="U53" s="59"/>
      <c r="V53" s="59"/>
      <c r="W53" s="59"/>
      <c r="X53" s="59"/>
      <c r="Y53" s="59"/>
      <c r="Z53" s="59"/>
    </row>
    <row r="54" spans="1:26" s="8" customFormat="1" x14ac:dyDescent="0.25">
      <c r="A54" s="35">
        <v>12</v>
      </c>
      <c r="B54" s="34"/>
      <c r="C54" s="50"/>
      <c r="D54" s="52"/>
      <c r="E54" s="17"/>
      <c r="F54" s="13"/>
      <c r="G54" s="40"/>
      <c r="H54" s="6" t="str">
        <f>IF(F54="","",N54-VLOOKUP(F54,Parts!A:F,6,FALSE))</f>
        <v/>
      </c>
      <c r="I54" s="6" t="str">
        <f>IF(F54="","",IF(F54=0,"",H54-(Standards!D$14*L$5)-(Standards!D$15*K$5)))</f>
        <v/>
      </c>
      <c r="J54" s="12" t="str">
        <f>IF(F54="","",VLOOKUP(F54,Parts!A:J,10,FALSE))</f>
        <v/>
      </c>
      <c r="K54" s="12" t="str">
        <f>IF(F54="","",VLOOKUP(F54,Parts!A:N,14,FALSE))</f>
        <v/>
      </c>
      <c r="L54" s="33"/>
      <c r="M54" s="33"/>
      <c r="N54" s="8" t="str">
        <f>IF(F54="","",L$41-Q54-R54)</f>
        <v/>
      </c>
      <c r="O54" s="8">
        <f t="shared" si="4"/>
        <v>3.5000000000000003E-2</v>
      </c>
      <c r="P54" s="8" t="str">
        <f t="shared" si="6"/>
        <v/>
      </c>
      <c r="Q54" s="8">
        <f>(B54*Standards!D$15)+Q53</f>
        <v>0.42126406651954945</v>
      </c>
      <c r="R54" s="8">
        <f t="shared" si="5"/>
        <v>0.31500000000000006</v>
      </c>
      <c r="T54" s="59"/>
      <c r="U54" s="59"/>
      <c r="V54" s="59"/>
      <c r="W54" s="59"/>
      <c r="X54" s="59"/>
      <c r="Y54" s="59"/>
      <c r="Z54" s="59"/>
    </row>
    <row r="55" spans="1:26" s="8" customFormat="1" x14ac:dyDescent="0.25">
      <c r="A55" s="35">
        <v>13</v>
      </c>
      <c r="B55" s="34"/>
      <c r="C55" s="50"/>
      <c r="D55" s="53"/>
      <c r="E55" s="16"/>
      <c r="F55" s="13"/>
      <c r="G55" s="40"/>
      <c r="H55" s="6" t="str">
        <f>IF(F55="","",N55-VLOOKUP(F55,Parts!A:F,6,FALSE))</f>
        <v/>
      </c>
      <c r="I55" s="6" t="str">
        <f>IF(F55="","",IF(F55=0,"",H55-(Standards!D$14*L$5)-(Standards!D$15*K$5)))</f>
        <v/>
      </c>
      <c r="J55" s="12" t="str">
        <f>IF(F55="","",VLOOKUP(F55,Parts!A:J,10,FALSE))</f>
        <v/>
      </c>
      <c r="K55" s="12" t="str">
        <f>IF(F55="","",VLOOKUP(F55,Parts!A:N,14,FALSE))</f>
        <v/>
      </c>
      <c r="L55" s="33"/>
      <c r="M55" s="33"/>
      <c r="N55" s="8" t="str">
        <f>IF(F55="","",L$41-Q55-R55)</f>
        <v/>
      </c>
      <c r="O55" s="8">
        <f t="shared" si="4"/>
        <v>3.5000000000000003E-2</v>
      </c>
      <c r="P55" s="8" t="str">
        <f t="shared" si="6"/>
        <v/>
      </c>
      <c r="Q55" s="8">
        <f>(B55*Standards!D$15)+Q54</f>
        <v>0.42126406651954945</v>
      </c>
      <c r="R55" s="8">
        <f t="shared" si="5"/>
        <v>0.31500000000000006</v>
      </c>
      <c r="T55" s="59"/>
      <c r="U55" s="59"/>
      <c r="V55" s="59"/>
      <c r="W55" s="59"/>
      <c r="X55" s="59"/>
      <c r="Y55" s="59"/>
      <c r="Z55" s="59"/>
    </row>
    <row r="56" spans="1:26" s="8" customFormat="1" x14ac:dyDescent="0.25">
      <c r="A56" s="35">
        <v>14</v>
      </c>
      <c r="B56" s="34"/>
      <c r="C56" s="50"/>
      <c r="D56" s="53"/>
      <c r="E56" s="16"/>
      <c r="F56" s="13"/>
      <c r="G56" s="40"/>
      <c r="H56" s="6" t="str">
        <f>IF(F56="","",N56-VLOOKUP(F56,Parts!A:F,6,FALSE))</f>
        <v/>
      </c>
      <c r="I56" s="6" t="str">
        <f>IF(F56="","",IF(F56=0,"",H56-(Standards!D$14*L$5)-(Standards!D$15*K$5)))</f>
        <v/>
      </c>
      <c r="J56" s="12" t="str">
        <f>IF(F56="","",VLOOKUP(F56,Parts!A:J,10,FALSE))</f>
        <v/>
      </c>
      <c r="K56" s="12" t="str">
        <f>IF(F56="","",VLOOKUP(F56,Parts!A:N,14,FALSE))</f>
        <v/>
      </c>
      <c r="L56" s="33"/>
      <c r="M56" s="33"/>
      <c r="N56" s="8" t="str">
        <f>IF(F56="","",L$41-Q56-R56)</f>
        <v/>
      </c>
      <c r="O56" s="8">
        <f t="shared" si="4"/>
        <v>3.5000000000000003E-2</v>
      </c>
      <c r="P56" s="8" t="str">
        <f t="shared" si="6"/>
        <v/>
      </c>
      <c r="Q56" s="8">
        <f>(B56*Standards!D$15)+Q55</f>
        <v>0.42126406651954945</v>
      </c>
      <c r="R56" s="8">
        <f t="shared" si="5"/>
        <v>0.31500000000000006</v>
      </c>
      <c r="T56" s="59"/>
      <c r="U56" s="59"/>
      <c r="V56" s="59"/>
      <c r="W56" s="59"/>
      <c r="X56" s="59"/>
      <c r="Y56" s="59"/>
      <c r="Z56" s="59"/>
    </row>
    <row r="57" spans="1:26" s="8" customFormat="1" x14ac:dyDescent="0.25">
      <c r="A57" s="35">
        <v>15</v>
      </c>
      <c r="B57" s="34"/>
      <c r="C57" s="50"/>
      <c r="D57" s="53"/>
      <c r="E57" s="16"/>
      <c r="F57" s="13"/>
      <c r="G57" s="40"/>
      <c r="H57" s="6" t="str">
        <f>IF(F57="","",N57-VLOOKUP(F57,Parts!A:F,6,FALSE))</f>
        <v/>
      </c>
      <c r="I57" s="6" t="str">
        <f>IF(F57="","",IF(F57=0,"",H57-(Standards!D$14*L$5)-(Standards!D$15*K$5)))</f>
        <v/>
      </c>
      <c r="J57" s="12" t="str">
        <f>IF(F57="","",VLOOKUP(F57,Parts!A:J,10,FALSE))</f>
        <v/>
      </c>
      <c r="K57" s="12" t="str">
        <f>IF(F57="","",VLOOKUP(F57,Parts!A:N,14,FALSE))</f>
        <v/>
      </c>
      <c r="L57" s="33"/>
      <c r="M57" s="33"/>
      <c r="N57" s="8" t="str">
        <f>IF(F57="","",L$41-Q57-R57)</f>
        <v/>
      </c>
      <c r="O57" s="8">
        <f t="shared" si="4"/>
        <v>3.5000000000000003E-2</v>
      </c>
      <c r="P57" s="8" t="str">
        <f t="shared" si="6"/>
        <v/>
      </c>
      <c r="Q57" s="8">
        <f>(B57*Standards!D$15)+Q56</f>
        <v>0.42126406651954945</v>
      </c>
      <c r="R57" s="8">
        <f t="shared" si="5"/>
        <v>0.31500000000000006</v>
      </c>
      <c r="T57" s="59"/>
      <c r="U57" s="59"/>
      <c r="V57" s="59"/>
      <c r="W57" s="59"/>
      <c r="X57" s="59"/>
      <c r="Y57" s="59"/>
      <c r="Z57" s="59"/>
    </row>
    <row r="58" spans="1:26" s="8" customFormat="1" x14ac:dyDescent="0.25">
      <c r="A58" s="35">
        <v>16</v>
      </c>
      <c r="B58" s="34"/>
      <c r="C58" s="50"/>
      <c r="D58" s="53"/>
      <c r="E58" s="16"/>
      <c r="F58" s="13"/>
      <c r="G58" s="40"/>
      <c r="H58" s="6" t="str">
        <f>IF(F58="","",N58-VLOOKUP(F58,Parts!A:F,6,FALSE))</f>
        <v/>
      </c>
      <c r="I58" s="6" t="str">
        <f>IF(F58="","",IF(F58=0,"",H58-(Standards!D$14*L$5)-(Standards!D$15*K$5)))</f>
        <v/>
      </c>
      <c r="J58" s="12" t="str">
        <f>IF(F58="","",VLOOKUP(F58,Parts!A:J,10,FALSE))</f>
        <v/>
      </c>
      <c r="K58" s="12" t="str">
        <f>IF(F58="","",VLOOKUP(F58,Parts!A:N,14,FALSE))</f>
        <v/>
      </c>
      <c r="L58" s="33"/>
      <c r="M58" s="33"/>
      <c r="N58" s="8" t="str">
        <f>IF(F58="","",L$41-Q58-R58)</f>
        <v/>
      </c>
      <c r="O58" s="8">
        <f t="shared" si="4"/>
        <v>3.5000000000000003E-2</v>
      </c>
      <c r="P58" s="8" t="str">
        <f t="shared" si="6"/>
        <v/>
      </c>
      <c r="Q58" s="8">
        <f>(B58*Standards!D$15)+Q57</f>
        <v>0.42126406651954945</v>
      </c>
      <c r="R58" s="8">
        <f t="shared" si="5"/>
        <v>0.31500000000000006</v>
      </c>
      <c r="T58" s="59"/>
      <c r="U58" s="59"/>
      <c r="V58" s="59"/>
      <c r="W58" s="59"/>
      <c r="X58" s="59"/>
      <c r="Y58" s="59"/>
      <c r="Z58" s="59"/>
    </row>
    <row r="59" spans="1:26" s="8" customFormat="1" x14ac:dyDescent="0.25">
      <c r="A59" s="35">
        <v>17</v>
      </c>
      <c r="B59" s="34"/>
      <c r="C59" s="50"/>
      <c r="D59" s="53"/>
      <c r="E59" s="16"/>
      <c r="F59" s="13"/>
      <c r="G59" s="40"/>
      <c r="H59" s="6" t="str">
        <f>IF(F59="","",N59-VLOOKUP(F59,Parts!A:F,6,FALSE))</f>
        <v/>
      </c>
      <c r="I59" s="6" t="str">
        <f>IF(F59="","",IF(F59=0,"",H59-(Standards!D$14*L$5)-(Standards!D$15*K$5)))</f>
        <v/>
      </c>
      <c r="J59" s="12" t="str">
        <f>IF(F59="","",VLOOKUP(F59,Parts!A:J,10,FALSE))</f>
        <v/>
      </c>
      <c r="K59" s="12" t="str">
        <f>IF(F59="","",VLOOKUP(F59,Parts!A:N,14,FALSE))</f>
        <v/>
      </c>
      <c r="L59" s="33"/>
      <c r="M59" s="33"/>
      <c r="N59" s="8" t="str">
        <f>IF(F59="","",L$41-Q59-R59)</f>
        <v/>
      </c>
      <c r="O59" s="8">
        <f t="shared" si="4"/>
        <v>3.5000000000000003E-2</v>
      </c>
      <c r="P59" s="8" t="str">
        <f t="shared" si="6"/>
        <v/>
      </c>
      <c r="Q59" s="8">
        <f>(B59*Standards!D$15)+Q58</f>
        <v>0.42126406651954945</v>
      </c>
      <c r="R59" s="8">
        <f t="shared" si="5"/>
        <v>0.31500000000000006</v>
      </c>
      <c r="T59" s="59"/>
      <c r="U59" s="59"/>
      <c r="V59" s="59"/>
      <c r="W59" s="59"/>
      <c r="X59" s="59"/>
      <c r="Y59" s="59"/>
      <c r="Z59" s="59"/>
    </row>
    <row r="60" spans="1:26" s="8" customFormat="1" x14ac:dyDescent="0.25">
      <c r="A60" s="35">
        <v>18</v>
      </c>
      <c r="B60" s="34"/>
      <c r="C60" s="50"/>
      <c r="D60" s="53"/>
      <c r="E60" s="16"/>
      <c r="F60" s="13"/>
      <c r="G60" s="40"/>
      <c r="H60" s="6" t="str">
        <f>IF(F60="","",N60-VLOOKUP(F60,Parts!A:F,6,FALSE))</f>
        <v/>
      </c>
      <c r="I60" s="6" t="str">
        <f>IF(F60="","",IF(F60=0,"",H60-(Standards!D$14*L$5)-(Standards!D$15*K$5)))</f>
        <v/>
      </c>
      <c r="J60" s="12" t="str">
        <f>IF(F60="","",VLOOKUP(F60,Parts!A:J,10,FALSE))</f>
        <v/>
      </c>
      <c r="K60" s="12" t="str">
        <f>IF(F60="","",VLOOKUP(F60,Parts!A:N,14,FALSE))</f>
        <v/>
      </c>
      <c r="L60" s="33"/>
      <c r="M60" s="33"/>
      <c r="N60" s="8" t="str">
        <f>IF(F60="","",L$41-Q60-R60)</f>
        <v/>
      </c>
      <c r="O60" s="8">
        <f t="shared" si="4"/>
        <v>3.5000000000000003E-2</v>
      </c>
      <c r="P60" s="8" t="str">
        <f t="shared" si="6"/>
        <v/>
      </c>
      <c r="Q60" s="8">
        <f>(B60*Standards!D$15)+Q59</f>
        <v>0.42126406651954945</v>
      </c>
      <c r="R60" s="8">
        <f t="shared" si="5"/>
        <v>0.31500000000000006</v>
      </c>
      <c r="T60" s="59"/>
      <c r="U60" s="59"/>
      <c r="V60" s="59"/>
      <c r="W60" s="59"/>
      <c r="X60" s="59"/>
      <c r="Y60" s="59"/>
      <c r="Z60" s="59"/>
    </row>
    <row r="61" spans="1:26" s="8" customFormat="1" x14ac:dyDescent="0.25">
      <c r="A61" s="35">
        <v>19</v>
      </c>
      <c r="B61" s="34"/>
      <c r="C61" s="50"/>
      <c r="D61" s="53"/>
      <c r="E61" s="16"/>
      <c r="F61" s="13"/>
      <c r="G61" s="40"/>
      <c r="H61" s="6" t="str">
        <f>IF(F61="","",N61-VLOOKUP(F61,Parts!A:F,6,FALSE))</f>
        <v/>
      </c>
      <c r="I61" s="6" t="str">
        <f>IF(F61="","",IF(F61=0,"",H61-(Standards!D$14*L$5)-(Standards!D$15*K$5)))</f>
        <v/>
      </c>
      <c r="J61" s="12" t="str">
        <f>IF(F61="","",VLOOKUP(F61,Parts!A:J,10,FALSE))</f>
        <v/>
      </c>
      <c r="K61" s="12" t="str">
        <f>IF(F61="","",VLOOKUP(F61,Parts!A:N,14,FALSE))</f>
        <v/>
      </c>
      <c r="L61" s="33"/>
      <c r="M61" s="33"/>
      <c r="N61" s="8" t="str">
        <f>IF(F61="","",L$41-Q61-R61)</f>
        <v/>
      </c>
      <c r="O61" s="8">
        <f t="shared" si="4"/>
        <v>3.5000000000000003E-2</v>
      </c>
      <c r="P61" s="8" t="str">
        <f t="shared" si="6"/>
        <v/>
      </c>
      <c r="Q61" s="8">
        <f>(B61*Standards!D$15)+Q60</f>
        <v>0.42126406651954945</v>
      </c>
      <c r="R61" s="8">
        <f t="shared" si="5"/>
        <v>0.31500000000000006</v>
      </c>
      <c r="T61" s="59"/>
      <c r="U61" s="59"/>
      <c r="V61" s="59"/>
      <c r="W61" s="59"/>
      <c r="X61" s="59"/>
      <c r="Y61" s="59"/>
      <c r="Z61" s="59"/>
    </row>
    <row r="62" spans="1:26" s="8" customFormat="1" x14ac:dyDescent="0.25">
      <c r="A62" s="35">
        <v>20</v>
      </c>
      <c r="B62" s="34"/>
      <c r="C62" s="50"/>
      <c r="D62" s="53"/>
      <c r="E62" s="16"/>
      <c r="F62" s="13"/>
      <c r="G62" s="40"/>
      <c r="H62" s="6" t="str">
        <f>IF(F62="","",N62-VLOOKUP(F62,Parts!A:F,6,FALSE))</f>
        <v/>
      </c>
      <c r="I62" s="6" t="str">
        <f>IF(F62="","",IF(F62=0,"",H62-(Standards!D$14*L$5)-(Standards!D$15*K$5)))</f>
        <v/>
      </c>
      <c r="J62" s="12" t="str">
        <f>IF(F62="","",VLOOKUP(F62,Parts!A:J,10,FALSE))</f>
        <v/>
      </c>
      <c r="K62" s="12" t="str">
        <f>IF(F62="","",VLOOKUP(F62,Parts!A:N,14,FALSE))</f>
        <v/>
      </c>
      <c r="L62" s="33"/>
      <c r="M62" s="33"/>
      <c r="N62" s="8" t="str">
        <f>IF(F62="","",L$41-Q62-R62)</f>
        <v/>
      </c>
      <c r="O62" s="8">
        <f t="shared" si="4"/>
        <v>3.5000000000000003E-2</v>
      </c>
      <c r="P62" s="8" t="str">
        <f t="shared" si="6"/>
        <v/>
      </c>
      <c r="Q62" s="8">
        <f>(B62*Standards!D$15)+Q61</f>
        <v>0.42126406651954945</v>
      </c>
      <c r="R62" s="8">
        <f t="shared" si="5"/>
        <v>0.31500000000000006</v>
      </c>
      <c r="T62" s="59"/>
      <c r="U62" s="59"/>
      <c r="V62" s="59"/>
      <c r="W62" s="59"/>
      <c r="X62" s="59"/>
      <c r="Y62" s="59"/>
      <c r="Z62" s="59"/>
    </row>
    <row r="63" spans="1:26" s="8" customFormat="1" x14ac:dyDescent="0.25">
      <c r="A63" s="35">
        <v>21</v>
      </c>
      <c r="B63" s="34"/>
      <c r="C63" s="50"/>
      <c r="D63" s="53"/>
      <c r="E63" s="16"/>
      <c r="F63" s="13"/>
      <c r="G63" s="40"/>
      <c r="H63" s="6" t="str">
        <f>IF(F63="","",N63-VLOOKUP(F63,Parts!A:F,6,FALSE))</f>
        <v/>
      </c>
      <c r="I63" s="6" t="str">
        <f>IF(F63="","",IF(F63=0,"",H63-(Standards!D$14*L$5)-(Standards!D$15*K$5)))</f>
        <v/>
      </c>
      <c r="J63" s="12" t="str">
        <f>IF(F63="","",VLOOKUP(F63,Parts!A:J,10,FALSE))</f>
        <v/>
      </c>
      <c r="K63" s="12" t="str">
        <f>IF(F63="","",VLOOKUP(F63,Parts!A:N,14,FALSE))</f>
        <v/>
      </c>
      <c r="L63" s="33"/>
      <c r="M63" s="33"/>
      <c r="N63" s="8" t="str">
        <f>IF(F63="","",L$41-Q63-R63)</f>
        <v/>
      </c>
      <c r="O63" s="8">
        <f t="shared" si="4"/>
        <v>3.5000000000000003E-2</v>
      </c>
      <c r="P63" s="8" t="str">
        <f t="shared" si="6"/>
        <v/>
      </c>
      <c r="Q63" s="8">
        <f>(B63*Standards!D$15)+Q62</f>
        <v>0.42126406651954945</v>
      </c>
      <c r="R63" s="8">
        <f t="shared" si="5"/>
        <v>0.31500000000000006</v>
      </c>
      <c r="T63" s="59"/>
      <c r="U63" s="59"/>
      <c r="V63" s="59"/>
      <c r="W63" s="59"/>
      <c r="X63" s="59"/>
      <c r="Y63" s="59"/>
      <c r="Z63" s="59"/>
    </row>
    <row r="64" spans="1:26" s="8" customFormat="1" x14ac:dyDescent="0.25">
      <c r="A64" s="35">
        <v>22</v>
      </c>
      <c r="B64" s="34"/>
      <c r="C64" s="50"/>
      <c r="D64" s="53"/>
      <c r="E64" s="16"/>
      <c r="F64" s="13"/>
      <c r="G64" s="40"/>
      <c r="H64" s="6" t="str">
        <f>IF(F64="","",N64-VLOOKUP(F64,Parts!A:F,6,FALSE))</f>
        <v/>
      </c>
      <c r="I64" s="6" t="str">
        <f>IF(F64="","",IF(F64=0,"",H64-(Standards!D$14*L$5)-(Standards!D$15*K$5)))</f>
        <v/>
      </c>
      <c r="J64" s="12" t="str">
        <f>IF(F64="","",VLOOKUP(F64,Parts!A:J,10,FALSE))</f>
        <v/>
      </c>
      <c r="K64" s="12" t="str">
        <f>IF(F64="","",VLOOKUP(F64,Parts!A:N,14,FALSE))</f>
        <v/>
      </c>
      <c r="L64" s="33"/>
      <c r="M64" s="33"/>
      <c r="N64" s="8" t="str">
        <f>IF(F64="","",L$41-Q64-R64)</f>
        <v/>
      </c>
      <c r="O64" s="8">
        <f t="shared" si="4"/>
        <v>3.5000000000000003E-2</v>
      </c>
      <c r="P64" s="8" t="str">
        <f t="shared" si="6"/>
        <v/>
      </c>
      <c r="Q64" s="8">
        <f>(B64*Standards!D$15)+Q63</f>
        <v>0.42126406651954945</v>
      </c>
      <c r="R64" s="8">
        <f t="shared" si="5"/>
        <v>0.31500000000000006</v>
      </c>
      <c r="T64" s="59"/>
      <c r="U64" s="59"/>
      <c r="V64" s="59"/>
      <c r="W64" s="59"/>
      <c r="X64" s="59"/>
      <c r="Y64" s="59"/>
      <c r="Z64" s="59"/>
    </row>
    <row r="65" spans="1:26" s="8" customFormat="1" x14ac:dyDescent="0.25">
      <c r="A65" s="35">
        <v>23</v>
      </c>
      <c r="B65" s="34"/>
      <c r="C65" s="50"/>
      <c r="D65" s="53"/>
      <c r="E65" s="16"/>
      <c r="F65" s="13"/>
      <c r="G65" s="40"/>
      <c r="H65" s="6" t="str">
        <f>IF(F65="","",N65-VLOOKUP(F65,Parts!A:F,6,FALSE))</f>
        <v/>
      </c>
      <c r="I65" s="6" t="str">
        <f>IF(F65="","",IF(F65=0,"",H65-(Standards!D$14*L$5)-(Standards!D$15*K$5)))</f>
        <v/>
      </c>
      <c r="J65" s="12" t="str">
        <f>IF(F65="","",VLOOKUP(F65,Parts!A:J,10,FALSE))</f>
        <v/>
      </c>
      <c r="K65" s="12" t="str">
        <f>IF(F65="","",VLOOKUP(F65,Parts!A:N,14,FALSE))</f>
        <v/>
      </c>
      <c r="L65" s="33"/>
      <c r="M65" s="33"/>
      <c r="N65" s="8" t="str">
        <f>IF(F65="","",L$41-Q65-R65)</f>
        <v/>
      </c>
      <c r="O65" s="8">
        <f t="shared" si="4"/>
        <v>3.5000000000000003E-2</v>
      </c>
      <c r="P65" s="8" t="str">
        <f t="shared" si="6"/>
        <v/>
      </c>
      <c r="Q65" s="8">
        <f>(B65*Standards!D$15)+Q64</f>
        <v>0.42126406651954945</v>
      </c>
      <c r="R65" s="8">
        <f t="shared" si="5"/>
        <v>0.31500000000000006</v>
      </c>
      <c r="T65" s="59"/>
      <c r="U65" s="59"/>
      <c r="V65" s="59"/>
      <c r="W65" s="59"/>
      <c r="X65" s="59"/>
      <c r="Y65" s="59"/>
      <c r="Z65" s="59"/>
    </row>
    <row r="66" spans="1:26" s="8" customFormat="1" x14ac:dyDescent="0.25">
      <c r="A66" s="35">
        <v>24</v>
      </c>
      <c r="B66" s="34"/>
      <c r="C66" s="50"/>
      <c r="D66" s="53"/>
      <c r="E66" s="16"/>
      <c r="F66" s="13"/>
      <c r="G66" s="40"/>
      <c r="H66" s="6" t="str">
        <f>IF(F66="","",N66-VLOOKUP(F66,Parts!A:F,6,FALSE))</f>
        <v/>
      </c>
      <c r="I66" s="6" t="str">
        <f>IF(F66="","",IF(F66=0,"",H66-(Standards!D$14*L$5)-(Standards!D$15*K$5)))</f>
        <v/>
      </c>
      <c r="J66" s="12" t="str">
        <f>IF(F66="","",VLOOKUP(F66,Parts!A:J,10,FALSE))</f>
        <v/>
      </c>
      <c r="K66" s="12" t="str">
        <f>IF(F66="","",VLOOKUP(F66,Parts!A:N,14,FALSE))</f>
        <v/>
      </c>
      <c r="L66" s="33"/>
      <c r="M66" s="33"/>
      <c r="N66" s="8" t="str">
        <f>IF(F66="","",L$41-Q66-R66)</f>
        <v/>
      </c>
      <c r="O66" s="8">
        <f t="shared" si="4"/>
        <v>3.5000000000000003E-2</v>
      </c>
      <c r="P66" s="8" t="str">
        <f t="shared" si="6"/>
        <v/>
      </c>
      <c r="Q66" s="8">
        <f>(B66*Standards!D$15)+Q65</f>
        <v>0.42126406651954945</v>
      </c>
      <c r="R66" s="8">
        <f t="shared" si="5"/>
        <v>0.31500000000000006</v>
      </c>
      <c r="T66" s="59"/>
      <c r="U66" s="59"/>
      <c r="V66" s="59"/>
      <c r="W66" s="59"/>
      <c r="X66" s="59"/>
      <c r="Y66" s="59"/>
      <c r="Z66" s="59"/>
    </row>
    <row r="67" spans="1:26" s="8" customFormat="1" x14ac:dyDescent="0.25">
      <c r="A67" s="35">
        <v>25</v>
      </c>
      <c r="B67" s="34"/>
      <c r="C67" s="50"/>
      <c r="D67" s="53"/>
      <c r="E67" s="16"/>
      <c r="F67" s="13"/>
      <c r="G67" s="40"/>
      <c r="H67" s="6" t="str">
        <f>IF(F67="","",N67-VLOOKUP(F67,Parts!A:F,6,FALSE))</f>
        <v/>
      </c>
      <c r="I67" s="6" t="str">
        <f>IF(F67="","",IF(F67=0,"",H67-(Standards!D$14*L$5)-(Standards!D$15*K$5)))</f>
        <v/>
      </c>
      <c r="J67" s="12" t="str">
        <f>IF(F67="","",VLOOKUP(F67,Parts!A:J,10,FALSE))</f>
        <v/>
      </c>
      <c r="K67" s="12" t="str">
        <f>IF(F67="","",VLOOKUP(F67,Parts!A:N,14,FALSE))</f>
        <v/>
      </c>
      <c r="L67" s="33"/>
      <c r="M67" s="33"/>
      <c r="N67" s="8" t="str">
        <f>IF(F67="","",L$41-Q67-R67)</f>
        <v/>
      </c>
      <c r="O67" s="8">
        <f t="shared" si="4"/>
        <v>3.5000000000000003E-2</v>
      </c>
      <c r="P67" s="8" t="str">
        <f t="shared" si="6"/>
        <v/>
      </c>
      <c r="Q67" s="8">
        <f>(B67*Standards!D$15)+Q66</f>
        <v>0.42126406651954945</v>
      </c>
      <c r="R67" s="8">
        <f t="shared" si="5"/>
        <v>0.31500000000000006</v>
      </c>
      <c r="T67" s="59"/>
      <c r="U67" s="59"/>
      <c r="V67" s="59"/>
      <c r="W67" s="59"/>
      <c r="X67" s="59"/>
      <c r="Y67" s="59"/>
      <c r="Z67" s="59"/>
    </row>
    <row r="68" spans="1:26" s="8" customFormat="1" x14ac:dyDescent="0.25">
      <c r="A68" s="35">
        <v>26</v>
      </c>
      <c r="B68" s="34"/>
      <c r="C68" s="50"/>
      <c r="D68" s="53"/>
      <c r="E68" s="16"/>
      <c r="F68" s="13"/>
      <c r="G68" s="40"/>
      <c r="H68" s="6" t="str">
        <f>IF(F68="","",N68-VLOOKUP(F68,Parts!A:F,6,FALSE))</f>
        <v/>
      </c>
      <c r="I68" s="6" t="str">
        <f>IF(F68="","",IF(F68=0,"",H68-(Standards!D$14*L$5)-(Standards!D$15*K$5)))</f>
        <v/>
      </c>
      <c r="J68" s="12" t="str">
        <f>IF(F68="","",VLOOKUP(F68,Parts!A:J,10,FALSE))</f>
        <v/>
      </c>
      <c r="K68" s="12" t="str">
        <f>IF(F68="","",VLOOKUP(F68,Parts!A:N,14,FALSE))</f>
        <v/>
      </c>
      <c r="L68" s="33"/>
      <c r="M68" s="33"/>
      <c r="N68" s="8" t="str">
        <f>IF(F68="","",L$41-Q68-R68)</f>
        <v/>
      </c>
      <c r="O68" s="8">
        <f t="shared" si="4"/>
        <v>3.5000000000000003E-2</v>
      </c>
      <c r="P68" s="8" t="str">
        <f t="shared" si="6"/>
        <v/>
      </c>
      <c r="Q68" s="8">
        <f>(B68*Standards!D$15)+Q67</f>
        <v>0.42126406651954945</v>
      </c>
      <c r="R68" s="8">
        <f t="shared" si="5"/>
        <v>0.31500000000000006</v>
      </c>
      <c r="T68" s="59"/>
      <c r="U68" s="59"/>
      <c r="V68" s="59"/>
      <c r="W68" s="59"/>
      <c r="X68" s="59"/>
      <c r="Y68" s="59"/>
      <c r="Z68" s="59"/>
    </row>
    <row r="69" spans="1:26" s="8" customFormat="1" x14ac:dyDescent="0.25">
      <c r="A69" s="35">
        <v>27</v>
      </c>
      <c r="B69" s="34"/>
      <c r="C69" s="50"/>
      <c r="D69" s="53"/>
      <c r="E69" s="16"/>
      <c r="F69" s="13"/>
      <c r="G69" s="40"/>
      <c r="H69" s="6" t="str">
        <f>IF(F69="","",N69-VLOOKUP(F69,Parts!A:F,6,FALSE))</f>
        <v/>
      </c>
      <c r="I69" s="6" t="str">
        <f>IF(F69="","",IF(F69=0,"",H69-(Standards!D$14*L$5)-(Standards!D$15*K$5)))</f>
        <v/>
      </c>
      <c r="J69" s="12" t="str">
        <f>IF(F69="","",VLOOKUP(F69,Parts!A:J,10,FALSE))</f>
        <v/>
      </c>
      <c r="K69" s="12" t="str">
        <f>IF(F69="","",VLOOKUP(F69,Parts!A:N,14,FALSE))</f>
        <v/>
      </c>
      <c r="L69" s="33"/>
      <c r="M69" s="33"/>
      <c r="N69" s="8" t="str">
        <f>IF(F69="","",L$41-Q69-R69)</f>
        <v/>
      </c>
      <c r="O69" s="8">
        <f t="shared" si="4"/>
        <v>3.5000000000000003E-2</v>
      </c>
      <c r="P69" s="8" t="str">
        <f t="shared" si="6"/>
        <v/>
      </c>
      <c r="Q69" s="8">
        <f>(B69*Standards!D$15)+Q68</f>
        <v>0.42126406651954945</v>
      </c>
      <c r="R69" s="8">
        <f t="shared" si="5"/>
        <v>0.31500000000000006</v>
      </c>
      <c r="T69" s="59"/>
      <c r="U69" s="59"/>
      <c r="V69" s="59"/>
      <c r="W69" s="59"/>
      <c r="X69" s="59"/>
      <c r="Y69" s="59"/>
      <c r="Z69" s="59"/>
    </row>
    <row r="70" spans="1:26" s="8" customFormat="1" x14ac:dyDescent="0.25">
      <c r="A70" s="35">
        <v>28</v>
      </c>
      <c r="B70" s="34"/>
      <c r="C70" s="50"/>
      <c r="D70" s="53"/>
      <c r="E70" s="16"/>
      <c r="F70" s="13"/>
      <c r="G70" s="40"/>
      <c r="H70" s="6" t="str">
        <f>IF(F70="","",N70-VLOOKUP(F70,Parts!A:F,6,FALSE))</f>
        <v/>
      </c>
      <c r="I70" s="6" t="str">
        <f>IF(F70="","",IF(F70=0,"",H70-(Standards!D$14*L$5)-(Standards!D$15*K$5)))</f>
        <v/>
      </c>
      <c r="J70" s="12" t="str">
        <f>IF(F70="","",VLOOKUP(F70,Parts!A:J,10,FALSE))</f>
        <v/>
      </c>
      <c r="K70" s="12" t="str">
        <f>IF(F70="","",VLOOKUP(F70,Parts!A:N,14,FALSE))</f>
        <v/>
      </c>
      <c r="L70" s="33"/>
      <c r="M70" s="33"/>
      <c r="N70" s="8" t="str">
        <f>IF(F70="","",L$41-Q70-R70)</f>
        <v/>
      </c>
      <c r="O70" s="8">
        <f t="shared" si="4"/>
        <v>3.5000000000000003E-2</v>
      </c>
      <c r="P70" s="8" t="str">
        <f t="shared" si="6"/>
        <v/>
      </c>
      <c r="Q70" s="8">
        <f>(B70*Standards!D$15)+Q69</f>
        <v>0.42126406651954945</v>
      </c>
      <c r="R70" s="8">
        <f t="shared" si="5"/>
        <v>0.31500000000000006</v>
      </c>
      <c r="T70" s="59"/>
      <c r="U70" s="59"/>
      <c r="V70" s="59"/>
      <c r="W70" s="59"/>
      <c r="X70" s="59"/>
      <c r="Y70" s="59"/>
      <c r="Z70" s="59"/>
    </row>
    <row r="71" spans="1:26" s="8" customFormat="1" x14ac:dyDescent="0.25">
      <c r="A71" s="35">
        <v>29</v>
      </c>
      <c r="B71" s="34"/>
      <c r="C71" s="50"/>
      <c r="D71" s="53"/>
      <c r="E71" s="16"/>
      <c r="F71" s="13"/>
      <c r="G71" s="40"/>
      <c r="H71" s="6" t="str">
        <f>IF(F71="","",N71-VLOOKUP(F71,Parts!A:F,6,FALSE))</f>
        <v/>
      </c>
      <c r="I71" s="6" t="str">
        <f>IF(F71="","",IF(F71=0,"",H71-(Standards!D$14*L$5)-(Standards!D$15*K$5)))</f>
        <v/>
      </c>
      <c r="J71" s="12" t="str">
        <f>IF(F71="","",VLOOKUP(F71,Parts!A:J,10,FALSE))</f>
        <v/>
      </c>
      <c r="K71" s="12" t="str">
        <f>IF(F71="","",VLOOKUP(F71,Parts!A:N,14,FALSE))</f>
        <v/>
      </c>
      <c r="L71" s="33"/>
      <c r="M71" s="33"/>
      <c r="N71" s="8" t="str">
        <f>IF(F71="","",L$41-Q71-R71)</f>
        <v/>
      </c>
      <c r="O71" s="8">
        <f t="shared" si="4"/>
        <v>3.5000000000000003E-2</v>
      </c>
      <c r="P71" s="8" t="str">
        <f t="shared" si="6"/>
        <v/>
      </c>
      <c r="Q71" s="8">
        <f>(B71*Standards!D$15)+Q70</f>
        <v>0.42126406651954945</v>
      </c>
      <c r="R71" s="8">
        <f t="shared" si="5"/>
        <v>0.31500000000000006</v>
      </c>
      <c r="T71" s="59"/>
      <c r="U71" s="59"/>
      <c r="V71" s="59"/>
      <c r="W71" s="59"/>
      <c r="X71" s="59"/>
      <c r="Y71" s="59"/>
      <c r="Z71" s="59"/>
    </row>
    <row r="72" spans="1:26" s="8" customFormat="1" x14ac:dyDescent="0.25">
      <c r="A72" s="35">
        <v>30</v>
      </c>
      <c r="B72" s="34"/>
      <c r="C72" s="50"/>
      <c r="D72" s="53"/>
      <c r="E72" s="16"/>
      <c r="F72" s="13"/>
      <c r="G72" s="40"/>
      <c r="H72" s="6" t="str">
        <f>IF(F72="","",N72-VLOOKUP(F72,Parts!A:F,6,FALSE))</f>
        <v/>
      </c>
      <c r="I72" s="6" t="str">
        <f>IF(F72="","",IF(F72=0,"",H72-(Standards!D$14*L$5)-(Standards!D$15*K$5)))</f>
        <v/>
      </c>
      <c r="J72" s="12" t="str">
        <f>IF(F72="","",VLOOKUP(F72,Parts!A:J,10,FALSE))</f>
        <v/>
      </c>
      <c r="K72" s="12" t="str">
        <f>IF(F72="","",VLOOKUP(F72,Parts!A:N,14,FALSE))</f>
        <v/>
      </c>
      <c r="L72" s="33"/>
      <c r="M72" s="33"/>
      <c r="N72" s="8" t="str">
        <f>IF(F72="","",L$41-Q72-R72)</f>
        <v/>
      </c>
      <c r="O72" s="8">
        <f t="shared" si="4"/>
        <v>3.5000000000000003E-2</v>
      </c>
      <c r="P72" s="8" t="str">
        <f t="shared" si="6"/>
        <v/>
      </c>
      <c r="Q72" s="8">
        <f>(B72*Standards!D$15)+Q71</f>
        <v>0.42126406651954945</v>
      </c>
      <c r="R72" s="8">
        <f t="shared" si="5"/>
        <v>0.31500000000000006</v>
      </c>
      <c r="T72" s="59"/>
      <c r="U72" s="59"/>
      <c r="V72" s="59"/>
      <c r="W72" s="59"/>
      <c r="X72" s="59"/>
      <c r="Y72" s="59"/>
      <c r="Z72" s="59"/>
    </row>
    <row r="73" spans="1:26" s="8" customFormat="1" x14ac:dyDescent="0.25">
      <c r="A73" s="35">
        <v>31</v>
      </c>
      <c r="B73" s="34"/>
      <c r="C73" s="50"/>
      <c r="D73" s="53"/>
      <c r="E73" s="16"/>
      <c r="F73" s="13"/>
      <c r="G73" s="40"/>
      <c r="H73" s="6" t="str">
        <f>IF(F73="","",N73-VLOOKUP(F73,Parts!A:F,6,FALSE))</f>
        <v/>
      </c>
      <c r="I73" s="6" t="str">
        <f>IF(F73="","",IF(F73=0,"",H73-(Standards!D$14*L$5)-(Standards!D$15*K$5)))</f>
        <v/>
      </c>
      <c r="J73" s="12" t="str">
        <f>IF(F73="","",VLOOKUP(F73,Parts!A:J,10,FALSE))</f>
        <v/>
      </c>
      <c r="K73" s="12" t="str">
        <f>IF(F73="","",VLOOKUP(F73,Parts!A:N,14,FALSE))</f>
        <v/>
      </c>
      <c r="L73" s="33"/>
      <c r="M73" s="33"/>
      <c r="N73" s="8" t="str">
        <f>IF(F73="","",L$41-Q73-R73)</f>
        <v/>
      </c>
      <c r="O73" s="8">
        <f t="shared" si="4"/>
        <v>3.5000000000000003E-2</v>
      </c>
      <c r="P73" s="8" t="str">
        <f t="shared" si="6"/>
        <v/>
      </c>
      <c r="Q73" s="8">
        <f>(B73*Standards!D$15)+Q72</f>
        <v>0.42126406651954945</v>
      </c>
      <c r="R73" s="8">
        <f t="shared" si="5"/>
        <v>0.31500000000000006</v>
      </c>
      <c r="T73" s="59"/>
      <c r="U73" s="59"/>
      <c r="V73" s="59"/>
      <c r="W73" s="59"/>
      <c r="X73" s="59"/>
      <c r="Y73" s="59"/>
      <c r="Z73" s="59"/>
    </row>
    <row r="75" spans="1:26" ht="18.75" x14ac:dyDescent="0.3">
      <c r="A75" s="94" t="s">
        <v>195</v>
      </c>
      <c r="C75" s="96" t="s">
        <v>191</v>
      </c>
      <c r="K75" s="93" t="s">
        <v>190</v>
      </c>
      <c r="L75" s="95">
        <f>P44</f>
        <v>-10.46343253557016</v>
      </c>
    </row>
    <row r="76" spans="1:26" s="7" customFormat="1" ht="40.5" customHeight="1" x14ac:dyDescent="0.25">
      <c r="A76" s="20" t="s">
        <v>151</v>
      </c>
      <c r="B76" s="21" t="s">
        <v>152</v>
      </c>
      <c r="C76" s="21" t="s">
        <v>153</v>
      </c>
      <c r="D76" s="19" t="s">
        <v>154</v>
      </c>
      <c r="E76" s="19" t="s">
        <v>155</v>
      </c>
      <c r="F76" s="19" t="s">
        <v>156</v>
      </c>
      <c r="G76" s="19" t="s">
        <v>157</v>
      </c>
      <c r="H76" s="19" t="s">
        <v>158</v>
      </c>
      <c r="I76" s="19" t="s">
        <v>159</v>
      </c>
      <c r="J76" s="19" t="s">
        <v>87</v>
      </c>
      <c r="K76" s="20" t="s">
        <v>160</v>
      </c>
      <c r="L76" s="19" t="s">
        <v>161</v>
      </c>
      <c r="M76" s="20" t="s">
        <v>162</v>
      </c>
      <c r="N76" s="8" t="s">
        <v>163</v>
      </c>
      <c r="O76" s="8" t="s">
        <v>164</v>
      </c>
      <c r="P76" s="8" t="s">
        <v>165</v>
      </c>
      <c r="Q76" s="8">
        <f>Q44</f>
        <v>0.15710610697260441</v>
      </c>
      <c r="R76" s="8">
        <f>R44</f>
        <v>0.14000000000000001</v>
      </c>
      <c r="S76" s="36"/>
      <c r="T76" s="61"/>
      <c r="U76" s="61"/>
      <c r="V76" s="61"/>
      <c r="W76" s="61"/>
      <c r="X76" s="61"/>
      <c r="Y76" s="61"/>
      <c r="Z76" s="61"/>
    </row>
    <row r="77" spans="1:26" x14ac:dyDescent="0.25">
      <c r="A77" s="35">
        <v>1</v>
      </c>
      <c r="B77" s="34">
        <f>719+100</f>
        <v>819</v>
      </c>
      <c r="C77" s="50" t="s">
        <v>202</v>
      </c>
      <c r="D77" s="90" t="s">
        <v>198</v>
      </c>
      <c r="E77" s="18" t="s">
        <v>91</v>
      </c>
      <c r="F77" s="13">
        <v>8</v>
      </c>
      <c r="G77" s="40"/>
      <c r="H77" s="6">
        <f>IF(F77="","",N77-VLOOKUP(F77,Parts!A:F,6,FALSE))</f>
        <v>-21.520413247826777</v>
      </c>
      <c r="I77" s="6">
        <f>IF(F77="","",IF(F77=0,"",H77-(Standards!D$14*L$5)-(Standards!D$15*K$5)))</f>
        <v>-21.875861242852441</v>
      </c>
      <c r="J77" s="12" t="str">
        <f>IF(F77="","",VLOOKUP(F77,Parts!A:J,10,FALSE))</f>
        <v>USBM1X8</v>
      </c>
      <c r="K77" s="12" t="str">
        <f>IF(F77="","",VLOOKUP(F77,Parts!A:N,14,FALSE))</f>
        <v>PLO-U-108-SCA-SCA</v>
      </c>
      <c r="L77" s="33" t="s">
        <v>292</v>
      </c>
      <c r="M77" s="33" t="s">
        <v>293</v>
      </c>
      <c r="N77" s="8">
        <f>IF(F77="","",L$75-Q77-R77)</f>
        <v>-10.880413247826777</v>
      </c>
      <c r="O77" s="8">
        <f t="shared" ref="O77:O105" si="7">VLOOKUP(H$5,Losses,3,FALSE)</f>
        <v>3.5000000000000003E-2</v>
      </c>
      <c r="P77" s="8">
        <f>IF(F77="","",N77-O77)</f>
        <v>-10.915413247826777</v>
      </c>
      <c r="Q77" s="8">
        <f>(B77*Standards!D$15)+Q76</f>
        <v>0.24198071225661694</v>
      </c>
      <c r="R77" s="8">
        <f t="shared" ref="R77:R105" si="8">IF(F77&lt;&gt;"",VLOOKUP(H$5,Losses,3,FALSE)+R76,R76)</f>
        <v>0.17500000000000002</v>
      </c>
    </row>
    <row r="78" spans="1:26" x14ac:dyDescent="0.25">
      <c r="A78" s="35">
        <v>2</v>
      </c>
      <c r="B78" s="34">
        <f>1013+100</f>
        <v>1113</v>
      </c>
      <c r="C78" s="50" t="s">
        <v>202</v>
      </c>
      <c r="D78" s="90" t="s">
        <v>203</v>
      </c>
      <c r="E78" s="16" t="s">
        <v>91</v>
      </c>
      <c r="F78" s="13">
        <v>4</v>
      </c>
      <c r="G78" s="55"/>
      <c r="H78" s="6">
        <f>IF(F78="","",N78-VLOOKUP(F78,Parts!A:F,6,FALSE))</f>
        <v>-18.270755660135819</v>
      </c>
      <c r="I78" s="6">
        <f>IF(F78="","",IF(F78=0,"",H78-(Standards!D$14*L$5)-(Standards!D$15*K$5)))</f>
        <v>-18.626203655161483</v>
      </c>
      <c r="J78" s="12" t="str">
        <f>IF(F78="","",VLOOKUP(F78,Parts!A:J,10,FALSE))</f>
        <v>USBM1X4</v>
      </c>
      <c r="K78" s="12" t="str">
        <f>IF(F78="","",VLOOKUP(F78,Parts!A:N,14,FALSE))</f>
        <v>PLO-U-104-SCA-SCA</v>
      </c>
      <c r="L78" s="33" t="s">
        <v>294</v>
      </c>
      <c r="M78" s="33" t="s">
        <v>295</v>
      </c>
      <c r="N78" s="8">
        <f>IF(F78="","",L$75-Q78-R78)</f>
        <v>-11.030755660135821</v>
      </c>
      <c r="O78" s="8">
        <f t="shared" si="7"/>
        <v>3.5000000000000003E-2</v>
      </c>
      <c r="P78" s="8">
        <f t="shared" ref="P78:P105" si="9">IF(F78="","",N78-O78)</f>
        <v>-11.065755660135821</v>
      </c>
      <c r="Q78" s="8">
        <f>(B78*Standards!D$15)+Q77</f>
        <v>0.35732312456565962</v>
      </c>
      <c r="R78" s="8">
        <f t="shared" si="8"/>
        <v>0.21000000000000002</v>
      </c>
    </row>
    <row r="79" spans="1:26" x14ac:dyDescent="0.25">
      <c r="A79" s="35">
        <v>3</v>
      </c>
      <c r="B79" s="34">
        <f>659+100</f>
        <v>759</v>
      </c>
      <c r="C79" s="50" t="s">
        <v>202</v>
      </c>
      <c r="D79" s="90" t="s">
        <v>204</v>
      </c>
      <c r="E79" s="17" t="s">
        <v>91</v>
      </c>
      <c r="F79" s="13">
        <v>4</v>
      </c>
      <c r="G79" s="40"/>
      <c r="H79" s="6">
        <f>IF(F79="","",N79-VLOOKUP(F79,Parts!A:F,6,FALSE))</f>
        <v>-18.384412345618806</v>
      </c>
      <c r="I79" s="6">
        <f>IF(F79="","",IF(F79=0,"",H79-(Standards!D$14*L$5)-(Standards!D$15*K$5)))</f>
        <v>-18.739860340644469</v>
      </c>
      <c r="J79" s="12" t="str">
        <f>IF(F79="","",VLOOKUP(F79,Parts!A:J,10,FALSE))</f>
        <v>USBM1X4</v>
      </c>
      <c r="K79" s="12" t="str">
        <f>IF(F79="","",VLOOKUP(F79,Parts!A:N,14,FALSE))</f>
        <v>PLO-U-104-SCA-SCA</v>
      </c>
      <c r="L79" s="33" t="s">
        <v>296</v>
      </c>
      <c r="M79" s="33" t="s">
        <v>297</v>
      </c>
      <c r="N79" s="8">
        <f>IF(F79="","",L$75-Q79-R79)</f>
        <v>-11.144412345618806</v>
      </c>
      <c r="O79" s="8">
        <f t="shared" si="7"/>
        <v>3.5000000000000003E-2</v>
      </c>
      <c r="P79" s="8">
        <f t="shared" si="9"/>
        <v>-11.179412345618806</v>
      </c>
      <c r="Q79" s="8">
        <f>(B79*Standards!D$15)+Q78</f>
        <v>0.43597981004864561</v>
      </c>
      <c r="R79" s="8">
        <f t="shared" si="8"/>
        <v>0.24500000000000002</v>
      </c>
    </row>
    <row r="80" spans="1:26" x14ac:dyDescent="0.25">
      <c r="A80" s="35">
        <v>4</v>
      </c>
      <c r="B80" s="34">
        <f>1173+100</f>
        <v>1273</v>
      </c>
      <c r="C80" s="50" t="s">
        <v>202</v>
      </c>
      <c r="D80" s="90" t="s">
        <v>184</v>
      </c>
      <c r="E80" s="16" t="s">
        <v>91</v>
      </c>
      <c r="F80" s="13">
        <v>8</v>
      </c>
      <c r="G80" s="56"/>
      <c r="H80" s="6">
        <f>IF(F80="","",N80-VLOOKUP(F80,Parts!A:F,6,FALSE))</f>
        <v>-21.951335877397252</v>
      </c>
      <c r="I80" s="6">
        <f>IF(F80="","",IF(F80=0,"",H80-(Standards!D$14*L$5)-(Standards!D$15*K$5)))</f>
        <v>-22.306783872422915</v>
      </c>
      <c r="J80" s="12" t="str">
        <f>IF(F80="","",VLOOKUP(F80,Parts!A:J,10,FALSE))</f>
        <v>USBM1X8</v>
      </c>
      <c r="K80" s="12" t="str">
        <f>IF(F80="","",VLOOKUP(F80,Parts!A:N,14,FALSE))</f>
        <v>PLO-U-108-SCA-SCA</v>
      </c>
      <c r="L80" s="33" t="s">
        <v>298</v>
      </c>
      <c r="M80" s="33" t="s">
        <v>299</v>
      </c>
      <c r="N80" s="8">
        <f>IF(F80="","",L$75-Q80-R80)</f>
        <v>-11.311335877397251</v>
      </c>
      <c r="O80" s="8">
        <f t="shared" si="7"/>
        <v>3.5000000000000003E-2</v>
      </c>
      <c r="P80" s="8">
        <f t="shared" si="9"/>
        <v>-11.346335877397252</v>
      </c>
      <c r="Q80" s="8">
        <f>(B80*Standards!D$15)+Q79</f>
        <v>0.56790334182709246</v>
      </c>
      <c r="R80" s="8">
        <f t="shared" si="8"/>
        <v>0.28000000000000003</v>
      </c>
    </row>
    <row r="81" spans="1:26" x14ac:dyDescent="0.25">
      <c r="A81" s="35">
        <v>5</v>
      </c>
      <c r="B81" s="34"/>
      <c r="C81" s="50"/>
      <c r="D81" s="51"/>
      <c r="E81" s="16"/>
      <c r="F81" s="13"/>
      <c r="G81" s="55"/>
      <c r="H81" s="6" t="str">
        <f>IF(F81="","",N81-VLOOKUP(F81,Parts!A:F,6,FALSE))</f>
        <v/>
      </c>
      <c r="I81" s="6" t="str">
        <f>IF(F81="","",IF(F81=0,"",H81-(Standards!D$14*L$5)-(Standards!D$15*K$5)))</f>
        <v/>
      </c>
      <c r="J81" s="12" t="str">
        <f>IF(F81="","",VLOOKUP(F81,Parts!A:J,10,FALSE))</f>
        <v/>
      </c>
      <c r="K81" s="12" t="str">
        <f>IF(F81="","",VLOOKUP(F81,Parts!A:N,14,FALSE))</f>
        <v/>
      </c>
      <c r="L81" s="33"/>
      <c r="M81" s="33"/>
      <c r="N81" s="8" t="str">
        <f>IF(F81="","",L$75-Q81-R81)</f>
        <v/>
      </c>
      <c r="O81" s="8">
        <f t="shared" si="7"/>
        <v>3.5000000000000003E-2</v>
      </c>
      <c r="P81" s="8" t="str">
        <f t="shared" si="9"/>
        <v/>
      </c>
      <c r="Q81" s="8">
        <f>(B81*Standards!D$15)+Q80</f>
        <v>0.56790334182709246</v>
      </c>
      <c r="R81" s="8">
        <f t="shared" si="8"/>
        <v>0.28000000000000003</v>
      </c>
    </row>
    <row r="82" spans="1:26" x14ac:dyDescent="0.25">
      <c r="A82" s="35">
        <v>6</v>
      </c>
      <c r="B82" s="34"/>
      <c r="C82" s="50"/>
      <c r="D82" s="51"/>
      <c r="E82" s="16"/>
      <c r="F82" s="13"/>
      <c r="G82" s="56"/>
      <c r="H82" s="6" t="str">
        <f>IF(F82="","",N82-VLOOKUP(F82,Parts!A:F,6,FALSE))</f>
        <v/>
      </c>
      <c r="I82" s="6" t="str">
        <f>IF(F82="","",IF(F82=0,"",H82-(Standards!D$14*L$5)-(Standards!D$15*K$5)))</f>
        <v/>
      </c>
      <c r="J82" s="12" t="str">
        <f>IF(F82="","",VLOOKUP(F82,Parts!A:J,10,FALSE))</f>
        <v/>
      </c>
      <c r="K82" s="12" t="str">
        <f>IF(F82="","",VLOOKUP(F82,Parts!A:N,14,FALSE))</f>
        <v/>
      </c>
      <c r="L82" s="33"/>
      <c r="M82" s="33"/>
      <c r="N82" s="8" t="str">
        <f>IF(F82="","",L$75-Q82-R82)</f>
        <v/>
      </c>
      <c r="O82" s="8">
        <f t="shared" si="7"/>
        <v>3.5000000000000003E-2</v>
      </c>
      <c r="P82" s="8" t="str">
        <f t="shared" si="9"/>
        <v/>
      </c>
      <c r="Q82" s="8">
        <f>(B82*Standards!D$15)+Q81</f>
        <v>0.56790334182709246</v>
      </c>
      <c r="R82" s="8">
        <f t="shared" si="8"/>
        <v>0.28000000000000003</v>
      </c>
    </row>
    <row r="83" spans="1:26" x14ac:dyDescent="0.25">
      <c r="A83" s="35">
        <v>7</v>
      </c>
      <c r="B83" s="34"/>
      <c r="C83" s="50"/>
      <c r="D83" s="51"/>
      <c r="E83" s="16"/>
      <c r="F83" s="13"/>
      <c r="G83" s="56"/>
      <c r="H83" s="6" t="str">
        <f>IF(F83="","",N83-VLOOKUP(F83,Parts!A:F,6,FALSE))</f>
        <v/>
      </c>
      <c r="I83" s="6" t="str">
        <f>IF(F83="","",IF(F83=0,"",H83-(Standards!D$14*L$5)-(Standards!D$15*K$5)))</f>
        <v/>
      </c>
      <c r="J83" s="12" t="str">
        <f>IF(F83="","",VLOOKUP(F83,Parts!A:J,10,FALSE))</f>
        <v/>
      </c>
      <c r="K83" s="12" t="str">
        <f>IF(F83="","",VLOOKUP(F83,Parts!A:N,14,FALSE))</f>
        <v/>
      </c>
      <c r="L83" s="33"/>
      <c r="M83" s="33"/>
      <c r="N83" s="8" t="str">
        <f>IF(F83="","",L$75-Q83-R83)</f>
        <v/>
      </c>
      <c r="O83" s="8">
        <f t="shared" si="7"/>
        <v>3.5000000000000003E-2</v>
      </c>
      <c r="P83" s="8" t="str">
        <f t="shared" si="9"/>
        <v/>
      </c>
      <c r="Q83" s="8">
        <f>(B83*Standards!D$15)+Q82</f>
        <v>0.56790334182709246</v>
      </c>
      <c r="R83" s="8">
        <f t="shared" si="8"/>
        <v>0.28000000000000003</v>
      </c>
    </row>
    <row r="84" spans="1:26" x14ac:dyDescent="0.25">
      <c r="A84" s="35">
        <v>8</v>
      </c>
      <c r="B84" s="34"/>
      <c r="C84" s="50"/>
      <c r="D84" s="51"/>
      <c r="E84" s="16"/>
      <c r="F84" s="13"/>
      <c r="G84" s="40"/>
      <c r="H84" s="6" t="str">
        <f>IF(F84="","",N84-VLOOKUP(F84,Parts!A:F,6,FALSE))</f>
        <v/>
      </c>
      <c r="I84" s="6" t="str">
        <f>IF(F84="","",IF(F84=0,"",H84-(Standards!D$14*L$5)-(Standards!D$15*K$5)))</f>
        <v/>
      </c>
      <c r="J84" s="12" t="str">
        <f>IF(F84="","",VLOOKUP(F84,Parts!A:J,10,FALSE))</f>
        <v/>
      </c>
      <c r="K84" s="12" t="str">
        <f>IF(F84="","",VLOOKUP(F84,Parts!A:N,14,FALSE))</f>
        <v/>
      </c>
      <c r="L84" s="33"/>
      <c r="M84" s="33"/>
      <c r="N84" s="8" t="str">
        <f>IF(F84="","",L$75-Q84-R84)</f>
        <v/>
      </c>
      <c r="O84" s="8">
        <f t="shared" si="7"/>
        <v>3.5000000000000003E-2</v>
      </c>
      <c r="P84" s="8" t="str">
        <f t="shared" si="9"/>
        <v/>
      </c>
      <c r="Q84" s="8">
        <f>(B84*Standards!D$15)+Q83</f>
        <v>0.56790334182709246</v>
      </c>
      <c r="R84" s="8">
        <f t="shared" si="8"/>
        <v>0.28000000000000003</v>
      </c>
    </row>
    <row r="85" spans="1:26" x14ac:dyDescent="0.25">
      <c r="A85" s="35">
        <v>9</v>
      </c>
      <c r="B85" s="34"/>
      <c r="C85" s="50"/>
      <c r="D85" s="52"/>
      <c r="E85" s="17"/>
      <c r="F85" s="13"/>
      <c r="G85" s="40"/>
      <c r="H85" s="6" t="str">
        <f>IF(F85="","",N85-VLOOKUP(F85,Parts!A:F,6,FALSE))</f>
        <v/>
      </c>
      <c r="I85" s="6" t="str">
        <f>IF(F85="","",IF(F85=0,"",H85-(Standards!D$14*L$5)-(Standards!D$15*K$5)))</f>
        <v/>
      </c>
      <c r="J85" s="12" t="str">
        <f>IF(F85="","",VLOOKUP(F85,Parts!A:J,10,FALSE))</f>
        <v/>
      </c>
      <c r="K85" s="12" t="str">
        <f>IF(F85="","",VLOOKUP(F85,Parts!A:N,14,FALSE))</f>
        <v/>
      </c>
      <c r="L85" s="33"/>
      <c r="M85" s="33"/>
      <c r="N85" s="8" t="str">
        <f>IF(F85="","",L$75-Q85-R85)</f>
        <v/>
      </c>
      <c r="O85" s="8">
        <f t="shared" si="7"/>
        <v>3.5000000000000003E-2</v>
      </c>
      <c r="P85" s="8" t="str">
        <f t="shared" si="9"/>
        <v/>
      </c>
      <c r="Q85" s="8">
        <f>(B85*Standards!D$15)+Q84</f>
        <v>0.56790334182709246</v>
      </c>
      <c r="R85" s="8">
        <f t="shared" si="8"/>
        <v>0.28000000000000003</v>
      </c>
    </row>
    <row r="86" spans="1:26" s="8" customFormat="1" x14ac:dyDescent="0.25">
      <c r="A86" s="35">
        <v>10</v>
      </c>
      <c r="B86" s="34"/>
      <c r="C86" s="50"/>
      <c r="D86" s="52"/>
      <c r="E86" s="17"/>
      <c r="F86" s="13"/>
      <c r="G86" s="40"/>
      <c r="H86" s="6" t="str">
        <f>IF(F86="","",N86-VLOOKUP(F86,Parts!A:F,6,FALSE))</f>
        <v/>
      </c>
      <c r="I86" s="6" t="str">
        <f>IF(F86="","",IF(F86=0,"",H86-(Standards!D$14*L$5)-(Standards!D$15*K$5)))</f>
        <v/>
      </c>
      <c r="J86" s="12" t="str">
        <f>IF(F86="","",VLOOKUP(F86,Parts!A:J,10,FALSE))</f>
        <v/>
      </c>
      <c r="K86" s="12" t="str">
        <f>IF(F86="","",VLOOKUP(F86,Parts!A:N,14,FALSE))</f>
        <v/>
      </c>
      <c r="L86" s="33"/>
      <c r="M86" s="33"/>
      <c r="N86" s="8" t="str">
        <f>IF(F86="","",L$75-Q86-R86)</f>
        <v/>
      </c>
      <c r="O86" s="8">
        <f t="shared" si="7"/>
        <v>3.5000000000000003E-2</v>
      </c>
      <c r="P86" s="8" t="str">
        <f t="shared" si="9"/>
        <v/>
      </c>
      <c r="Q86" s="8">
        <f>(B86*Standards!D$15)+Q85</f>
        <v>0.56790334182709246</v>
      </c>
      <c r="R86" s="8">
        <f t="shared" si="8"/>
        <v>0.28000000000000003</v>
      </c>
      <c r="T86" s="59"/>
      <c r="U86" s="59"/>
      <c r="V86" s="59"/>
      <c r="W86" s="59"/>
      <c r="X86" s="59"/>
      <c r="Y86" s="59"/>
      <c r="Z86" s="59"/>
    </row>
    <row r="87" spans="1:26" s="8" customFormat="1" x14ac:dyDescent="0.25">
      <c r="A87" s="35">
        <v>11</v>
      </c>
      <c r="B87" s="34"/>
      <c r="C87" s="50"/>
      <c r="D87" s="51"/>
      <c r="E87" s="18"/>
      <c r="F87" s="13"/>
      <c r="G87" s="40"/>
      <c r="H87" s="6" t="str">
        <f>IF(F87="","",N87-VLOOKUP(F87,Parts!A:F,6,FALSE))</f>
        <v/>
      </c>
      <c r="I87" s="6" t="str">
        <f>IF(F87="","",IF(F87=0,"",H87-(Standards!D$14*L$5)-(Standards!D$15*K$5)))</f>
        <v/>
      </c>
      <c r="J87" s="12" t="str">
        <f>IF(F87="","",VLOOKUP(F87,Parts!A:J,10,FALSE))</f>
        <v/>
      </c>
      <c r="K87" s="12" t="str">
        <f>IF(F87="","",VLOOKUP(F87,Parts!A:N,14,FALSE))</f>
        <v/>
      </c>
      <c r="L87" s="33"/>
      <c r="M87" s="33"/>
      <c r="N87" s="8" t="str">
        <f>IF(F87="","",L$75-Q87-R87)</f>
        <v/>
      </c>
      <c r="O87" s="8">
        <f t="shared" si="7"/>
        <v>3.5000000000000003E-2</v>
      </c>
      <c r="P87" s="8" t="str">
        <f t="shared" si="9"/>
        <v/>
      </c>
      <c r="Q87" s="8">
        <f>(B87*Standards!D$15)+Q86</f>
        <v>0.56790334182709246</v>
      </c>
      <c r="R87" s="8">
        <f t="shared" si="8"/>
        <v>0.28000000000000003</v>
      </c>
      <c r="T87" s="59"/>
      <c r="U87" s="59"/>
      <c r="V87" s="59"/>
      <c r="W87" s="59"/>
      <c r="X87" s="59"/>
      <c r="Y87" s="59"/>
      <c r="Z87" s="59"/>
    </row>
    <row r="88" spans="1:26" s="8" customFormat="1" x14ac:dyDescent="0.25">
      <c r="A88" s="35">
        <v>12</v>
      </c>
      <c r="B88" s="34"/>
      <c r="C88" s="50"/>
      <c r="D88" s="52"/>
      <c r="E88" s="17"/>
      <c r="F88" s="13"/>
      <c r="G88" s="40"/>
      <c r="H88" s="6" t="str">
        <f>IF(F88="","",N88-VLOOKUP(F88,Parts!A:F,6,FALSE))</f>
        <v/>
      </c>
      <c r="I88" s="6" t="str">
        <f>IF(F88="","",IF(F88=0,"",H88-(Standards!D$14*L$5)-(Standards!D$15*K$5)))</f>
        <v/>
      </c>
      <c r="J88" s="12" t="str">
        <f>IF(F88="","",VLOOKUP(F88,Parts!A:J,10,FALSE))</f>
        <v/>
      </c>
      <c r="K88" s="12" t="str">
        <f>IF(F88="","",VLOOKUP(F88,Parts!A:N,14,FALSE))</f>
        <v/>
      </c>
      <c r="L88" s="33"/>
      <c r="M88" s="33"/>
      <c r="N88" s="8" t="str">
        <f>IF(F88="","",L$75-Q88-R88)</f>
        <v/>
      </c>
      <c r="O88" s="8">
        <f t="shared" si="7"/>
        <v>3.5000000000000003E-2</v>
      </c>
      <c r="P88" s="8" t="str">
        <f t="shared" si="9"/>
        <v/>
      </c>
      <c r="Q88" s="8">
        <f>(B88*Standards!D$15)+Q87</f>
        <v>0.56790334182709246</v>
      </c>
      <c r="R88" s="8">
        <f t="shared" si="8"/>
        <v>0.28000000000000003</v>
      </c>
      <c r="T88" s="59"/>
      <c r="U88" s="59"/>
      <c r="V88" s="59"/>
      <c r="W88" s="59"/>
      <c r="X88" s="59"/>
      <c r="Y88" s="59"/>
      <c r="Z88" s="59"/>
    </row>
    <row r="89" spans="1:26" s="8" customFormat="1" x14ac:dyDescent="0.25">
      <c r="A89" s="35">
        <v>13</v>
      </c>
      <c r="B89" s="34"/>
      <c r="C89" s="50"/>
      <c r="D89" s="53"/>
      <c r="E89" s="16"/>
      <c r="F89" s="13"/>
      <c r="G89" s="40"/>
      <c r="H89" s="6" t="str">
        <f>IF(F89="","",N89-VLOOKUP(F89,Parts!A:F,6,FALSE))</f>
        <v/>
      </c>
      <c r="I89" s="6" t="str">
        <f>IF(F89="","",IF(F89=0,"",H89-(Standards!D$14*L$5)-(Standards!D$15*K$5)))</f>
        <v/>
      </c>
      <c r="J89" s="12" t="str">
        <f>IF(F89="","",VLOOKUP(F89,Parts!A:J,10,FALSE))</f>
        <v/>
      </c>
      <c r="K89" s="12" t="str">
        <f>IF(F89="","",VLOOKUP(F89,Parts!A:N,14,FALSE))</f>
        <v/>
      </c>
      <c r="L89" s="33"/>
      <c r="M89" s="33"/>
      <c r="N89" s="8" t="str">
        <f>IF(F89="","",L$75-Q89-R89)</f>
        <v/>
      </c>
      <c r="O89" s="8">
        <f t="shared" si="7"/>
        <v>3.5000000000000003E-2</v>
      </c>
      <c r="P89" s="8" t="str">
        <f t="shared" si="9"/>
        <v/>
      </c>
      <c r="Q89" s="8">
        <f>(B89*Standards!D$15)+Q88</f>
        <v>0.56790334182709246</v>
      </c>
      <c r="R89" s="8">
        <f t="shared" si="8"/>
        <v>0.28000000000000003</v>
      </c>
      <c r="T89" s="59"/>
      <c r="U89" s="59"/>
      <c r="V89" s="59"/>
      <c r="W89" s="59"/>
      <c r="X89" s="59"/>
      <c r="Y89" s="59"/>
      <c r="Z89" s="59"/>
    </row>
    <row r="90" spans="1:26" s="8" customFormat="1" x14ac:dyDescent="0.25">
      <c r="A90" s="35">
        <v>14</v>
      </c>
      <c r="B90" s="34"/>
      <c r="C90" s="50"/>
      <c r="D90" s="53"/>
      <c r="E90" s="16"/>
      <c r="F90" s="13"/>
      <c r="G90" s="40"/>
      <c r="H90" s="6" t="str">
        <f>IF(F90="","",N90-VLOOKUP(F90,Parts!A:F,6,FALSE))</f>
        <v/>
      </c>
      <c r="I90" s="6" t="str">
        <f>IF(F90="","",IF(F90=0,"",H90-(Standards!D$14*L$5)-(Standards!D$15*K$5)))</f>
        <v/>
      </c>
      <c r="J90" s="12" t="str">
        <f>IF(F90="","",VLOOKUP(F90,Parts!A:J,10,FALSE))</f>
        <v/>
      </c>
      <c r="K90" s="12" t="str">
        <f>IF(F90="","",VLOOKUP(F90,Parts!A:N,14,FALSE))</f>
        <v/>
      </c>
      <c r="L90" s="33"/>
      <c r="M90" s="33"/>
      <c r="N90" s="8" t="str">
        <f>IF(F90="","",L$75-Q90-R90)</f>
        <v/>
      </c>
      <c r="O90" s="8">
        <f t="shared" si="7"/>
        <v>3.5000000000000003E-2</v>
      </c>
      <c r="P90" s="8" t="str">
        <f t="shared" si="9"/>
        <v/>
      </c>
      <c r="Q90" s="8">
        <f>(B90*Standards!D$15)+Q89</f>
        <v>0.56790334182709246</v>
      </c>
      <c r="R90" s="8">
        <f t="shared" si="8"/>
        <v>0.28000000000000003</v>
      </c>
      <c r="T90" s="59"/>
      <c r="U90" s="59"/>
      <c r="V90" s="59"/>
      <c r="W90" s="59"/>
      <c r="X90" s="59"/>
      <c r="Y90" s="59"/>
      <c r="Z90" s="59"/>
    </row>
    <row r="91" spans="1:26" s="8" customFormat="1" x14ac:dyDescent="0.25">
      <c r="A91" s="35">
        <v>15</v>
      </c>
      <c r="B91" s="34"/>
      <c r="C91" s="50"/>
      <c r="D91" s="53"/>
      <c r="E91" s="16"/>
      <c r="F91" s="13"/>
      <c r="G91" s="40"/>
      <c r="H91" s="6" t="str">
        <f>IF(F91="","",N91-VLOOKUP(F91,Parts!A:F,6,FALSE))</f>
        <v/>
      </c>
      <c r="I91" s="6" t="str">
        <f>IF(F91="","",IF(F91=0,"",H91-(Standards!D$14*L$5)-(Standards!D$15*K$5)))</f>
        <v/>
      </c>
      <c r="J91" s="12" t="str">
        <f>IF(F91="","",VLOOKUP(F91,Parts!A:J,10,FALSE))</f>
        <v/>
      </c>
      <c r="K91" s="12" t="str">
        <f>IF(F91="","",VLOOKUP(F91,Parts!A:N,14,FALSE))</f>
        <v/>
      </c>
      <c r="L91" s="33"/>
      <c r="M91" s="33"/>
      <c r="N91" s="8" t="str">
        <f>IF(F91="","",L$75-Q91-R91)</f>
        <v/>
      </c>
      <c r="O91" s="8">
        <f t="shared" si="7"/>
        <v>3.5000000000000003E-2</v>
      </c>
      <c r="P91" s="8" t="str">
        <f t="shared" si="9"/>
        <v/>
      </c>
      <c r="Q91" s="8">
        <f>(B91*Standards!D$15)+Q90</f>
        <v>0.56790334182709246</v>
      </c>
      <c r="R91" s="8">
        <f t="shared" si="8"/>
        <v>0.28000000000000003</v>
      </c>
      <c r="T91" s="59"/>
      <c r="U91" s="59"/>
      <c r="V91" s="59"/>
      <c r="W91" s="59"/>
      <c r="X91" s="59"/>
      <c r="Y91" s="59"/>
      <c r="Z91" s="59"/>
    </row>
    <row r="92" spans="1:26" s="8" customFormat="1" x14ac:dyDescent="0.25">
      <c r="A92" s="35">
        <v>16</v>
      </c>
      <c r="B92" s="34"/>
      <c r="C92" s="50"/>
      <c r="D92" s="53"/>
      <c r="E92" s="16"/>
      <c r="F92" s="13"/>
      <c r="G92" s="40"/>
      <c r="H92" s="6" t="str">
        <f>IF(F92="","",N92-VLOOKUP(F92,Parts!A:F,6,FALSE))</f>
        <v/>
      </c>
      <c r="I92" s="6" t="str">
        <f>IF(F92="","",IF(F92=0,"",H92-(Standards!D$14*L$5)-(Standards!D$15*K$5)))</f>
        <v/>
      </c>
      <c r="J92" s="12" t="str">
        <f>IF(F92="","",VLOOKUP(F92,Parts!A:J,10,FALSE))</f>
        <v/>
      </c>
      <c r="K92" s="12" t="str">
        <f>IF(F92="","",VLOOKUP(F92,Parts!A:N,14,FALSE))</f>
        <v/>
      </c>
      <c r="L92" s="33"/>
      <c r="M92" s="33"/>
      <c r="N92" s="8" t="str">
        <f>IF(F92="","",L$75-Q92-R92)</f>
        <v/>
      </c>
      <c r="O92" s="8">
        <f t="shared" si="7"/>
        <v>3.5000000000000003E-2</v>
      </c>
      <c r="P92" s="8" t="str">
        <f t="shared" si="9"/>
        <v/>
      </c>
      <c r="Q92" s="8">
        <f>(B92*Standards!D$15)+Q91</f>
        <v>0.56790334182709246</v>
      </c>
      <c r="R92" s="8">
        <f t="shared" si="8"/>
        <v>0.28000000000000003</v>
      </c>
      <c r="T92" s="59"/>
      <c r="U92" s="59"/>
      <c r="V92" s="59"/>
      <c r="W92" s="59"/>
      <c r="X92" s="59"/>
      <c r="Y92" s="59"/>
      <c r="Z92" s="59"/>
    </row>
    <row r="93" spans="1:26" s="8" customFormat="1" x14ac:dyDescent="0.25">
      <c r="A93" s="35">
        <v>17</v>
      </c>
      <c r="B93" s="34"/>
      <c r="C93" s="50"/>
      <c r="D93" s="53"/>
      <c r="E93" s="16"/>
      <c r="F93" s="13"/>
      <c r="G93" s="40"/>
      <c r="H93" s="6" t="str">
        <f>IF(F93="","",N93-VLOOKUP(F93,Parts!A:F,6,FALSE))</f>
        <v/>
      </c>
      <c r="I93" s="6" t="str">
        <f>IF(F93="","",IF(F93=0,"",H93-(Standards!D$14*L$5)-(Standards!D$15*K$5)))</f>
        <v/>
      </c>
      <c r="J93" s="12" t="str">
        <f>IF(F93="","",VLOOKUP(F93,Parts!A:J,10,FALSE))</f>
        <v/>
      </c>
      <c r="K93" s="12" t="str">
        <f>IF(F93="","",VLOOKUP(F93,Parts!A:N,14,FALSE))</f>
        <v/>
      </c>
      <c r="L93" s="33"/>
      <c r="M93" s="33"/>
      <c r="N93" s="8" t="str">
        <f>IF(F93="","",L$75-Q93-R93)</f>
        <v/>
      </c>
      <c r="O93" s="8">
        <f t="shared" si="7"/>
        <v>3.5000000000000003E-2</v>
      </c>
      <c r="P93" s="8" t="str">
        <f t="shared" si="9"/>
        <v/>
      </c>
      <c r="Q93" s="8">
        <f>(B93*Standards!D$15)+Q92</f>
        <v>0.56790334182709246</v>
      </c>
      <c r="R93" s="8">
        <f t="shared" si="8"/>
        <v>0.28000000000000003</v>
      </c>
      <c r="T93" s="59"/>
      <c r="U93" s="59"/>
      <c r="V93" s="59"/>
      <c r="W93" s="59"/>
      <c r="X93" s="59"/>
      <c r="Y93" s="59"/>
      <c r="Z93" s="59"/>
    </row>
    <row r="94" spans="1:26" s="8" customFormat="1" x14ac:dyDescent="0.25">
      <c r="A94" s="35">
        <v>18</v>
      </c>
      <c r="B94" s="34"/>
      <c r="C94" s="50"/>
      <c r="D94" s="53"/>
      <c r="E94" s="16"/>
      <c r="F94" s="13"/>
      <c r="G94" s="40"/>
      <c r="H94" s="6" t="str">
        <f>IF(F94="","",N94-VLOOKUP(F94,Parts!A:F,6,FALSE))</f>
        <v/>
      </c>
      <c r="I94" s="6" t="str">
        <f>IF(F94="","",IF(F94=0,"",H94-(Standards!D$14*L$5)-(Standards!D$15*K$5)))</f>
        <v/>
      </c>
      <c r="J94" s="12" t="str">
        <f>IF(F94="","",VLOOKUP(F94,Parts!A:J,10,FALSE))</f>
        <v/>
      </c>
      <c r="K94" s="12" t="str">
        <f>IF(F94="","",VLOOKUP(F94,Parts!A:N,14,FALSE))</f>
        <v/>
      </c>
      <c r="L94" s="33"/>
      <c r="M94" s="33"/>
      <c r="N94" s="8" t="str">
        <f>IF(F94="","",L$75-Q94-R94)</f>
        <v/>
      </c>
      <c r="O94" s="8">
        <f t="shared" si="7"/>
        <v>3.5000000000000003E-2</v>
      </c>
      <c r="P94" s="8" t="str">
        <f t="shared" si="9"/>
        <v/>
      </c>
      <c r="Q94" s="8">
        <f>(B94*Standards!D$15)+Q93</f>
        <v>0.56790334182709246</v>
      </c>
      <c r="R94" s="8">
        <f t="shared" si="8"/>
        <v>0.28000000000000003</v>
      </c>
      <c r="T94" s="59"/>
      <c r="U94" s="59"/>
      <c r="V94" s="59"/>
      <c r="W94" s="59"/>
      <c r="X94" s="59"/>
      <c r="Y94" s="59"/>
      <c r="Z94" s="59"/>
    </row>
    <row r="95" spans="1:26" s="8" customFormat="1" x14ac:dyDescent="0.25">
      <c r="A95" s="35">
        <v>19</v>
      </c>
      <c r="B95" s="34"/>
      <c r="C95" s="50"/>
      <c r="D95" s="53"/>
      <c r="E95" s="16"/>
      <c r="F95" s="13"/>
      <c r="G95" s="40"/>
      <c r="H95" s="6" t="str">
        <f>IF(F95="","",N95-VLOOKUP(F95,Parts!A:F,6,FALSE))</f>
        <v/>
      </c>
      <c r="I95" s="6" t="str">
        <f>IF(F95="","",IF(F95=0,"",H95-(Standards!D$14*L$5)-(Standards!D$15*K$5)))</f>
        <v/>
      </c>
      <c r="J95" s="12" t="str">
        <f>IF(F95="","",VLOOKUP(F95,Parts!A:J,10,FALSE))</f>
        <v/>
      </c>
      <c r="K95" s="12" t="str">
        <f>IF(F95="","",VLOOKUP(F95,Parts!A:N,14,FALSE))</f>
        <v/>
      </c>
      <c r="L95" s="33"/>
      <c r="M95" s="33"/>
      <c r="N95" s="8" t="str">
        <f>IF(F95="","",L$75-Q95-R95)</f>
        <v/>
      </c>
      <c r="O95" s="8">
        <f t="shared" si="7"/>
        <v>3.5000000000000003E-2</v>
      </c>
      <c r="P95" s="8" t="str">
        <f t="shared" si="9"/>
        <v/>
      </c>
      <c r="Q95" s="8">
        <f>(B95*Standards!D$15)+Q94</f>
        <v>0.56790334182709246</v>
      </c>
      <c r="R95" s="8">
        <f t="shared" si="8"/>
        <v>0.28000000000000003</v>
      </c>
      <c r="T95" s="59"/>
      <c r="U95" s="59"/>
      <c r="V95" s="59"/>
      <c r="W95" s="59"/>
      <c r="X95" s="59"/>
      <c r="Y95" s="59"/>
      <c r="Z95" s="59"/>
    </row>
    <row r="96" spans="1:26" s="8" customFormat="1" x14ac:dyDescent="0.25">
      <c r="A96" s="35">
        <v>20</v>
      </c>
      <c r="B96" s="34"/>
      <c r="C96" s="50"/>
      <c r="D96" s="53"/>
      <c r="E96" s="16"/>
      <c r="F96" s="13"/>
      <c r="G96" s="40"/>
      <c r="H96" s="6" t="str">
        <f>IF(F96="","",N96-VLOOKUP(F96,Parts!A:F,6,FALSE))</f>
        <v/>
      </c>
      <c r="I96" s="6" t="str">
        <f>IF(F96="","",IF(F96=0,"",H96-(Standards!D$14*L$5)-(Standards!D$15*K$5)))</f>
        <v/>
      </c>
      <c r="J96" s="12" t="str">
        <f>IF(F96="","",VLOOKUP(F96,Parts!A:J,10,FALSE))</f>
        <v/>
      </c>
      <c r="K96" s="12" t="str">
        <f>IF(F96="","",VLOOKUP(F96,Parts!A:N,14,FALSE))</f>
        <v/>
      </c>
      <c r="L96" s="33"/>
      <c r="M96" s="33"/>
      <c r="N96" s="8" t="str">
        <f>IF(F96="","",L$75-Q96-R96)</f>
        <v/>
      </c>
      <c r="O96" s="8">
        <f t="shared" si="7"/>
        <v>3.5000000000000003E-2</v>
      </c>
      <c r="P96" s="8" t="str">
        <f t="shared" si="9"/>
        <v/>
      </c>
      <c r="Q96" s="8">
        <f>(B96*Standards!D$15)+Q95</f>
        <v>0.56790334182709246</v>
      </c>
      <c r="R96" s="8">
        <f t="shared" si="8"/>
        <v>0.28000000000000003</v>
      </c>
      <c r="T96" s="59"/>
      <c r="U96" s="59"/>
      <c r="V96" s="59"/>
      <c r="W96" s="59"/>
      <c r="X96" s="59"/>
      <c r="Y96" s="59"/>
      <c r="Z96" s="59"/>
    </row>
    <row r="97" spans="1:26" s="8" customFormat="1" x14ac:dyDescent="0.25">
      <c r="A97" s="35">
        <v>21</v>
      </c>
      <c r="B97" s="34"/>
      <c r="C97" s="50"/>
      <c r="D97" s="53"/>
      <c r="E97" s="16"/>
      <c r="F97" s="13"/>
      <c r="G97" s="40"/>
      <c r="H97" s="6" t="str">
        <f>IF(F97="","",N97-VLOOKUP(F97,Parts!A:F,6,FALSE))</f>
        <v/>
      </c>
      <c r="I97" s="6" t="str">
        <f>IF(F97="","",IF(F97=0,"",H97-(Standards!D$14*L$5)-(Standards!D$15*K$5)))</f>
        <v/>
      </c>
      <c r="J97" s="12" t="str">
        <f>IF(F97="","",VLOOKUP(F97,Parts!A:J,10,FALSE))</f>
        <v/>
      </c>
      <c r="K97" s="12" t="str">
        <f>IF(F97="","",VLOOKUP(F97,Parts!A:N,14,FALSE))</f>
        <v/>
      </c>
      <c r="L97" s="33"/>
      <c r="M97" s="33"/>
      <c r="N97" s="8" t="str">
        <f>IF(F97="","",L$75-Q97-R97)</f>
        <v/>
      </c>
      <c r="O97" s="8">
        <f t="shared" si="7"/>
        <v>3.5000000000000003E-2</v>
      </c>
      <c r="P97" s="8" t="str">
        <f t="shared" si="9"/>
        <v/>
      </c>
      <c r="Q97" s="8">
        <f>(B97*Standards!D$15)+Q96</f>
        <v>0.56790334182709246</v>
      </c>
      <c r="R97" s="8">
        <f t="shared" si="8"/>
        <v>0.28000000000000003</v>
      </c>
      <c r="T97" s="59"/>
      <c r="U97" s="59"/>
      <c r="V97" s="59"/>
      <c r="W97" s="59"/>
      <c r="X97" s="59"/>
      <c r="Y97" s="59"/>
      <c r="Z97" s="59"/>
    </row>
    <row r="98" spans="1:26" s="8" customFormat="1" x14ac:dyDescent="0.25">
      <c r="A98" s="35">
        <v>22</v>
      </c>
      <c r="B98" s="34"/>
      <c r="C98" s="50"/>
      <c r="D98" s="53"/>
      <c r="E98" s="16"/>
      <c r="F98" s="13"/>
      <c r="G98" s="40"/>
      <c r="H98" s="6" t="str">
        <f>IF(F98="","",N98-VLOOKUP(F98,Parts!A:F,6,FALSE))</f>
        <v/>
      </c>
      <c r="I98" s="6" t="str">
        <f>IF(F98="","",IF(F98=0,"",H98-(Standards!D$14*L$5)-(Standards!D$15*K$5)))</f>
        <v/>
      </c>
      <c r="J98" s="12" t="str">
        <f>IF(F98="","",VLOOKUP(F98,Parts!A:J,10,FALSE))</f>
        <v/>
      </c>
      <c r="K98" s="12" t="str">
        <f>IF(F98="","",VLOOKUP(F98,Parts!A:N,14,FALSE))</f>
        <v/>
      </c>
      <c r="L98" s="33"/>
      <c r="M98" s="33"/>
      <c r="N98" s="8" t="str">
        <f>IF(F98="","",L$75-Q98-R98)</f>
        <v/>
      </c>
      <c r="O98" s="8">
        <f t="shared" si="7"/>
        <v>3.5000000000000003E-2</v>
      </c>
      <c r="P98" s="8" t="str">
        <f t="shared" si="9"/>
        <v/>
      </c>
      <c r="Q98" s="8">
        <f>(B98*Standards!D$15)+Q97</f>
        <v>0.56790334182709246</v>
      </c>
      <c r="R98" s="8">
        <f t="shared" si="8"/>
        <v>0.28000000000000003</v>
      </c>
      <c r="T98" s="59"/>
      <c r="U98" s="59"/>
      <c r="V98" s="59"/>
      <c r="W98" s="59"/>
      <c r="X98" s="59"/>
      <c r="Y98" s="59"/>
      <c r="Z98" s="59"/>
    </row>
    <row r="99" spans="1:26" s="8" customFormat="1" x14ac:dyDescent="0.25">
      <c r="A99" s="35">
        <v>23</v>
      </c>
      <c r="B99" s="34"/>
      <c r="C99" s="50"/>
      <c r="D99" s="53"/>
      <c r="E99" s="16"/>
      <c r="F99" s="13"/>
      <c r="G99" s="40"/>
      <c r="H99" s="6" t="str">
        <f>IF(F99="","",N99-VLOOKUP(F99,Parts!A:F,6,FALSE))</f>
        <v/>
      </c>
      <c r="I99" s="6" t="str">
        <f>IF(F99="","",IF(F99=0,"",H99-(Standards!D$14*L$5)-(Standards!D$15*K$5)))</f>
        <v/>
      </c>
      <c r="J99" s="12" t="str">
        <f>IF(F99="","",VLOOKUP(F99,Parts!A:J,10,FALSE))</f>
        <v/>
      </c>
      <c r="K99" s="12" t="str">
        <f>IF(F99="","",VLOOKUP(F99,Parts!A:N,14,FALSE))</f>
        <v/>
      </c>
      <c r="L99" s="33"/>
      <c r="M99" s="33"/>
      <c r="N99" s="8" t="str">
        <f>IF(F99="","",L$75-Q99-R99)</f>
        <v/>
      </c>
      <c r="O99" s="8">
        <f t="shared" si="7"/>
        <v>3.5000000000000003E-2</v>
      </c>
      <c r="P99" s="8" t="str">
        <f t="shared" si="9"/>
        <v/>
      </c>
      <c r="Q99" s="8">
        <f>(B99*Standards!D$15)+Q98</f>
        <v>0.56790334182709246</v>
      </c>
      <c r="R99" s="8">
        <f t="shared" si="8"/>
        <v>0.28000000000000003</v>
      </c>
      <c r="T99" s="59"/>
      <c r="U99" s="59"/>
      <c r="V99" s="59"/>
      <c r="W99" s="59"/>
      <c r="X99" s="59"/>
      <c r="Y99" s="59"/>
      <c r="Z99" s="59"/>
    </row>
    <row r="100" spans="1:26" s="8" customFormat="1" x14ac:dyDescent="0.25">
      <c r="A100" s="35">
        <v>24</v>
      </c>
      <c r="B100" s="34"/>
      <c r="C100" s="50"/>
      <c r="D100" s="53"/>
      <c r="E100" s="16"/>
      <c r="F100" s="13"/>
      <c r="G100" s="40"/>
      <c r="H100" s="6" t="str">
        <f>IF(F100="","",N100-VLOOKUP(F100,Parts!A:F,6,FALSE))</f>
        <v/>
      </c>
      <c r="I100" s="6" t="str">
        <f>IF(F100="","",IF(F100=0,"",H100-(Standards!D$14*L$5)-(Standards!D$15*K$5)))</f>
        <v/>
      </c>
      <c r="J100" s="12" t="str">
        <f>IF(F100="","",VLOOKUP(F100,Parts!A:J,10,FALSE))</f>
        <v/>
      </c>
      <c r="K100" s="12" t="str">
        <f>IF(F100="","",VLOOKUP(F100,Parts!A:N,14,FALSE))</f>
        <v/>
      </c>
      <c r="L100" s="33"/>
      <c r="M100" s="33"/>
      <c r="N100" s="8" t="str">
        <f>IF(F100="","",L$75-Q100-R100)</f>
        <v/>
      </c>
      <c r="O100" s="8">
        <f t="shared" si="7"/>
        <v>3.5000000000000003E-2</v>
      </c>
      <c r="P100" s="8" t="str">
        <f t="shared" si="9"/>
        <v/>
      </c>
      <c r="Q100" s="8">
        <f>(B100*Standards!D$15)+Q99</f>
        <v>0.56790334182709246</v>
      </c>
      <c r="R100" s="8">
        <f t="shared" si="8"/>
        <v>0.28000000000000003</v>
      </c>
      <c r="T100" s="59"/>
      <c r="U100" s="59"/>
      <c r="V100" s="59"/>
      <c r="W100" s="59"/>
      <c r="X100" s="59"/>
      <c r="Y100" s="59"/>
      <c r="Z100" s="59"/>
    </row>
    <row r="101" spans="1:26" s="8" customFormat="1" x14ac:dyDescent="0.25">
      <c r="A101" s="35">
        <v>25</v>
      </c>
      <c r="B101" s="34"/>
      <c r="C101" s="50"/>
      <c r="D101" s="53"/>
      <c r="E101" s="16"/>
      <c r="F101" s="13"/>
      <c r="G101" s="40"/>
      <c r="H101" s="6" t="str">
        <f>IF(F101="","",N101-VLOOKUP(F101,Parts!A:F,6,FALSE))</f>
        <v/>
      </c>
      <c r="I101" s="6" t="str">
        <f>IF(F101="","",IF(F101=0,"",H101-(Standards!D$14*L$5)-(Standards!D$15*K$5)))</f>
        <v/>
      </c>
      <c r="J101" s="12" t="str">
        <f>IF(F101="","",VLOOKUP(F101,Parts!A:J,10,FALSE))</f>
        <v/>
      </c>
      <c r="K101" s="12" t="str">
        <f>IF(F101="","",VLOOKUP(F101,Parts!A:N,14,FALSE))</f>
        <v/>
      </c>
      <c r="L101" s="33"/>
      <c r="M101" s="33"/>
      <c r="N101" s="8" t="str">
        <f>IF(F101="","",L$75-Q101-R101)</f>
        <v/>
      </c>
      <c r="O101" s="8">
        <f t="shared" si="7"/>
        <v>3.5000000000000003E-2</v>
      </c>
      <c r="P101" s="8" t="str">
        <f t="shared" si="9"/>
        <v/>
      </c>
      <c r="Q101" s="8">
        <f>(B101*Standards!D$15)+Q100</f>
        <v>0.56790334182709246</v>
      </c>
      <c r="R101" s="8">
        <f t="shared" si="8"/>
        <v>0.28000000000000003</v>
      </c>
      <c r="T101" s="59"/>
      <c r="U101" s="59"/>
      <c r="V101" s="59"/>
      <c r="W101" s="59"/>
      <c r="X101" s="59"/>
      <c r="Y101" s="59"/>
      <c r="Z101" s="59"/>
    </row>
    <row r="102" spans="1:26" s="8" customFormat="1" x14ac:dyDescent="0.25">
      <c r="A102" s="35">
        <v>26</v>
      </c>
      <c r="B102" s="34"/>
      <c r="C102" s="50"/>
      <c r="D102" s="53"/>
      <c r="E102" s="16"/>
      <c r="F102" s="13"/>
      <c r="G102" s="40"/>
      <c r="H102" s="6" t="str">
        <f>IF(F102="","",N102-VLOOKUP(F102,Parts!A:F,6,FALSE))</f>
        <v/>
      </c>
      <c r="I102" s="6" t="str">
        <f>IF(F102="","",IF(F102=0,"",H102-(Standards!D$14*L$5)-(Standards!D$15*K$5)))</f>
        <v/>
      </c>
      <c r="J102" s="12" t="str">
        <f>IF(F102="","",VLOOKUP(F102,Parts!A:J,10,FALSE))</f>
        <v/>
      </c>
      <c r="K102" s="12" t="str">
        <f>IF(F102="","",VLOOKUP(F102,Parts!A:N,14,FALSE))</f>
        <v/>
      </c>
      <c r="L102" s="33"/>
      <c r="M102" s="33"/>
      <c r="N102" s="8" t="str">
        <f>IF(F102="","",L$75-Q102-R102)</f>
        <v/>
      </c>
      <c r="O102" s="8">
        <f t="shared" si="7"/>
        <v>3.5000000000000003E-2</v>
      </c>
      <c r="P102" s="8" t="str">
        <f t="shared" si="9"/>
        <v/>
      </c>
      <c r="Q102" s="8">
        <f>(B102*Standards!D$15)+Q101</f>
        <v>0.56790334182709246</v>
      </c>
      <c r="R102" s="8">
        <f t="shared" si="8"/>
        <v>0.28000000000000003</v>
      </c>
      <c r="T102" s="59"/>
      <c r="U102" s="59"/>
      <c r="V102" s="59"/>
      <c r="W102" s="59"/>
      <c r="X102" s="59"/>
      <c r="Y102" s="59"/>
      <c r="Z102" s="59"/>
    </row>
    <row r="103" spans="1:26" s="8" customFormat="1" x14ac:dyDescent="0.25">
      <c r="A103" s="35">
        <v>27</v>
      </c>
      <c r="B103" s="34"/>
      <c r="C103" s="50"/>
      <c r="D103" s="53"/>
      <c r="E103" s="16"/>
      <c r="F103" s="13"/>
      <c r="G103" s="40"/>
      <c r="H103" s="6" t="str">
        <f>IF(F103="","",N103-VLOOKUP(F103,Parts!A:F,6,FALSE))</f>
        <v/>
      </c>
      <c r="I103" s="6" t="str">
        <f>IF(F103="","",IF(F103=0,"",H103-(Standards!D$14*L$5)-(Standards!D$15*K$5)))</f>
        <v/>
      </c>
      <c r="J103" s="12" t="str">
        <f>IF(F103="","",VLOOKUP(F103,Parts!A:J,10,FALSE))</f>
        <v/>
      </c>
      <c r="K103" s="12" t="str">
        <f>IF(F103="","",VLOOKUP(F103,Parts!A:N,14,FALSE))</f>
        <v/>
      </c>
      <c r="L103" s="33"/>
      <c r="M103" s="33"/>
      <c r="N103" s="8" t="str">
        <f>IF(F103="","",L$75-Q103-R103)</f>
        <v/>
      </c>
      <c r="O103" s="8">
        <f t="shared" si="7"/>
        <v>3.5000000000000003E-2</v>
      </c>
      <c r="P103" s="8" t="str">
        <f t="shared" si="9"/>
        <v/>
      </c>
      <c r="Q103" s="8">
        <f>(B103*Standards!D$15)+Q102</f>
        <v>0.56790334182709246</v>
      </c>
      <c r="R103" s="8">
        <f t="shared" si="8"/>
        <v>0.28000000000000003</v>
      </c>
      <c r="T103" s="59"/>
      <c r="U103" s="59"/>
      <c r="V103" s="59"/>
      <c r="W103" s="59"/>
      <c r="X103" s="59"/>
      <c r="Y103" s="59"/>
      <c r="Z103" s="59"/>
    </row>
    <row r="104" spans="1:26" s="8" customFormat="1" x14ac:dyDescent="0.25">
      <c r="A104" s="35">
        <v>28</v>
      </c>
      <c r="B104" s="34"/>
      <c r="C104" s="50"/>
      <c r="D104" s="53"/>
      <c r="E104" s="16"/>
      <c r="F104" s="13"/>
      <c r="G104" s="40"/>
      <c r="H104" s="6" t="str">
        <f>IF(F104="","",N104-VLOOKUP(F104,Parts!A:F,6,FALSE))</f>
        <v/>
      </c>
      <c r="I104" s="6" t="str">
        <f>IF(F104="","",IF(F104=0,"",H104-(Standards!D$14*L$5)-(Standards!D$15*K$5)))</f>
        <v/>
      </c>
      <c r="J104" s="12" t="str">
        <f>IF(F104="","",VLOOKUP(F104,Parts!A:J,10,FALSE))</f>
        <v/>
      </c>
      <c r="K104" s="12" t="str">
        <f>IF(F104="","",VLOOKUP(F104,Parts!A:N,14,FALSE))</f>
        <v/>
      </c>
      <c r="L104" s="33"/>
      <c r="M104" s="33"/>
      <c r="N104" s="8" t="str">
        <f>IF(F104="","",L$75-Q104-R104)</f>
        <v/>
      </c>
      <c r="O104" s="8">
        <f t="shared" si="7"/>
        <v>3.5000000000000003E-2</v>
      </c>
      <c r="P104" s="8" t="str">
        <f t="shared" si="9"/>
        <v/>
      </c>
      <c r="Q104" s="8">
        <f>(B104*Standards!D$15)+Q103</f>
        <v>0.56790334182709246</v>
      </c>
      <c r="R104" s="8">
        <f t="shared" si="8"/>
        <v>0.28000000000000003</v>
      </c>
      <c r="T104" s="59"/>
      <c r="U104" s="59"/>
      <c r="V104" s="59"/>
      <c r="W104" s="59"/>
      <c r="X104" s="59"/>
      <c r="Y104" s="59"/>
      <c r="Z104" s="59"/>
    </row>
    <row r="105" spans="1:26" s="8" customFormat="1" x14ac:dyDescent="0.25">
      <c r="A105" s="35">
        <v>29</v>
      </c>
      <c r="B105" s="34"/>
      <c r="C105" s="50"/>
      <c r="D105" s="53"/>
      <c r="E105" s="16"/>
      <c r="F105" s="13"/>
      <c r="G105" s="40"/>
      <c r="H105" s="6" t="str">
        <f>IF(F105="","",N105-VLOOKUP(F105,Parts!A:F,6,FALSE))</f>
        <v/>
      </c>
      <c r="I105" s="6" t="str">
        <f>IF(F105="","",IF(F105=0,"",H105-(Standards!D$14*L$5)-(Standards!D$15*K$5)))</f>
        <v/>
      </c>
      <c r="J105" s="12" t="str">
        <f>IF(F105="","",VLOOKUP(F105,Parts!A:J,10,FALSE))</f>
        <v/>
      </c>
      <c r="K105" s="12" t="str">
        <f>IF(F105="","",VLOOKUP(F105,Parts!A:N,14,FALSE))</f>
        <v/>
      </c>
      <c r="L105" s="33"/>
      <c r="M105" s="33"/>
      <c r="N105" s="8" t="str">
        <f>IF(F105="","",L$75-Q105-R105)</f>
        <v/>
      </c>
      <c r="O105" s="8">
        <f t="shared" si="7"/>
        <v>3.5000000000000003E-2</v>
      </c>
      <c r="P105" s="8" t="str">
        <f t="shared" si="9"/>
        <v/>
      </c>
      <c r="Q105" s="8">
        <f>(B105*Standards!D$15)+Q104</f>
        <v>0.56790334182709246</v>
      </c>
      <c r="R105" s="8">
        <f t="shared" si="8"/>
        <v>0.28000000000000003</v>
      </c>
      <c r="T105" s="59"/>
      <c r="U105" s="59"/>
      <c r="V105" s="59"/>
      <c r="W105" s="59"/>
      <c r="X105" s="59"/>
      <c r="Y105" s="59"/>
      <c r="Z105" s="59"/>
    </row>
    <row r="107" spans="1:26" ht="18.75" x14ac:dyDescent="0.3">
      <c r="A107" s="94" t="s">
        <v>212</v>
      </c>
      <c r="C107" s="96" t="s">
        <v>191</v>
      </c>
      <c r="K107" s="93" t="s">
        <v>190</v>
      </c>
      <c r="L107" s="95">
        <f>P10</f>
        <v>-10.869469526096974</v>
      </c>
    </row>
    <row r="108" spans="1:26" s="7" customFormat="1" ht="40.5" customHeight="1" x14ac:dyDescent="0.25">
      <c r="A108" s="20" t="s">
        <v>151</v>
      </c>
      <c r="B108" s="21" t="s">
        <v>152</v>
      </c>
      <c r="C108" s="21" t="s">
        <v>153</v>
      </c>
      <c r="D108" s="19" t="s">
        <v>154</v>
      </c>
      <c r="E108" s="19" t="s">
        <v>155</v>
      </c>
      <c r="F108" s="19" t="s">
        <v>156</v>
      </c>
      <c r="G108" s="19" t="s">
        <v>157</v>
      </c>
      <c r="H108" s="19" t="s">
        <v>158</v>
      </c>
      <c r="I108" s="19" t="s">
        <v>159</v>
      </c>
      <c r="J108" s="19" t="s">
        <v>87</v>
      </c>
      <c r="K108" s="20" t="s">
        <v>160</v>
      </c>
      <c r="L108" s="19" t="s">
        <v>161</v>
      </c>
      <c r="M108" s="20" t="s">
        <v>162</v>
      </c>
      <c r="N108" s="8" t="s">
        <v>163</v>
      </c>
      <c r="O108" s="8" t="s">
        <v>164</v>
      </c>
      <c r="P108" s="8" t="s">
        <v>165</v>
      </c>
      <c r="Q108" s="8">
        <f>Q10</f>
        <v>0.78874312676021918</v>
      </c>
      <c r="R108" s="8">
        <f>R10</f>
        <v>0.10500000000000001</v>
      </c>
      <c r="S108" s="36"/>
      <c r="T108" s="61"/>
      <c r="U108" s="61"/>
      <c r="V108" s="61"/>
      <c r="W108" s="61"/>
      <c r="X108" s="61"/>
      <c r="Y108" s="61"/>
      <c r="Z108" s="61"/>
    </row>
    <row r="109" spans="1:26" x14ac:dyDescent="0.25">
      <c r="A109" s="35">
        <v>1</v>
      </c>
      <c r="B109" s="34">
        <f>543+100</f>
        <v>643</v>
      </c>
      <c r="C109" s="50" t="s">
        <v>187</v>
      </c>
      <c r="D109" s="51" t="s">
        <v>188</v>
      </c>
      <c r="E109" s="18" t="s">
        <v>91</v>
      </c>
      <c r="F109" s="13">
        <v>0</v>
      </c>
      <c r="G109" s="40"/>
      <c r="H109" s="6">
        <f>IF(F109="","",N109-VLOOKUP(F109,Parts!A:F,6,FALSE))</f>
        <v>-11.864848026724863</v>
      </c>
      <c r="I109" s="6" t="str">
        <f>IF(F109="","",IF(F109=0,"",H109-(Standards!D$14*L$5)-(Standards!D$15*K$5)))</f>
        <v/>
      </c>
      <c r="J109" s="12" t="str">
        <f>IF(F109="","",VLOOKUP(F109,Parts!A:J,10,FALSE))</f>
        <v>N/A</v>
      </c>
      <c r="K109" s="12" t="str">
        <f>IF(F109="","",VLOOKUP(F109,Parts!A:N,14,FALSE))</f>
        <v>N/A</v>
      </c>
      <c r="L109" s="33"/>
      <c r="M109" s="33"/>
      <c r="N109" s="8">
        <f>IF(F109="","",L$107-Q109-R109)</f>
        <v>-11.864848026724863</v>
      </c>
      <c r="O109" s="8">
        <f t="shared" ref="O109:O124" si="10">VLOOKUP(H$5,Losses,3,FALSE)</f>
        <v>3.5000000000000003E-2</v>
      </c>
      <c r="P109" s="8">
        <f>IF(F109="","",N109-O109)</f>
        <v>-11.899848026724863</v>
      </c>
      <c r="Q109" s="8">
        <f>(B109*Standards!D$15)+Q108</f>
        <v>0.85537850062788712</v>
      </c>
      <c r="R109" s="8">
        <f t="shared" ref="R109:R124" si="11">IF(F109&lt;&gt;"",VLOOKUP(H$5,Losses,3,FALSE)+R108,R108)</f>
        <v>0.14000000000000001</v>
      </c>
    </row>
    <row r="110" spans="1:26" x14ac:dyDescent="0.25">
      <c r="A110" s="35">
        <v>2</v>
      </c>
      <c r="B110" s="34">
        <v>828</v>
      </c>
      <c r="C110" s="50" t="s">
        <v>187</v>
      </c>
      <c r="D110" s="51" t="s">
        <v>194</v>
      </c>
      <c r="E110" s="16" t="s">
        <v>91</v>
      </c>
      <c r="F110" s="13">
        <v>0</v>
      </c>
      <c r="G110" s="55"/>
      <c r="H110" s="6">
        <f>IF(F110="","",N110-VLOOKUP(F110,Parts!A:F,6,FALSE))</f>
        <v>-11.985655319979029</v>
      </c>
      <c r="I110" s="6" t="str">
        <f>IF(F110="","",IF(F110=0,"",H110-(Standards!D$14*L$5)-(Standards!D$15*K$5)))</f>
        <v/>
      </c>
      <c r="J110" s="12" t="str">
        <f>IF(F110="","",VLOOKUP(F110,Parts!A:J,10,FALSE))</f>
        <v>N/A</v>
      </c>
      <c r="K110" s="12" t="str">
        <f>IF(F110="","",VLOOKUP(F110,Parts!A:N,14,FALSE))</f>
        <v>N/A</v>
      </c>
      <c r="L110" s="33"/>
      <c r="M110" s="33"/>
      <c r="N110" s="8">
        <f>IF(F110="","",L$107-Q110-R110)</f>
        <v>-11.985655319979029</v>
      </c>
      <c r="O110" s="8">
        <f t="shared" si="10"/>
        <v>3.5000000000000003E-2</v>
      </c>
      <c r="P110" s="8">
        <f t="shared" ref="P110:P124" si="12">IF(F110="","",N110-O110)</f>
        <v>-12.02065531997903</v>
      </c>
      <c r="Q110" s="8">
        <f>(B110*Standards!D$15)+Q109</f>
        <v>0.94118579388205359</v>
      </c>
      <c r="R110" s="8">
        <f t="shared" si="11"/>
        <v>0.17500000000000002</v>
      </c>
    </row>
    <row r="111" spans="1:26" x14ac:dyDescent="0.25">
      <c r="A111" s="35">
        <v>3</v>
      </c>
      <c r="B111" s="34">
        <f>1197+200</f>
        <v>1397</v>
      </c>
      <c r="C111" s="50" t="s">
        <v>211</v>
      </c>
      <c r="D111" s="51" t="s">
        <v>175</v>
      </c>
      <c r="E111" s="17" t="s">
        <v>91</v>
      </c>
      <c r="F111" s="13">
        <v>4</v>
      </c>
      <c r="G111" s="40"/>
      <c r="H111" s="6">
        <f>IF(F111="","",N111-VLOOKUP(F111,Parts!A:F,6,FALSE))</f>
        <v>-19.405429219346264</v>
      </c>
      <c r="I111" s="6">
        <f>IF(F111="","",IF(F111=0,"",H111-(Standards!D$14*L$5)-(Standards!D$15*K$5)))</f>
        <v>-19.760877214371927</v>
      </c>
      <c r="J111" s="12" t="str">
        <f>IF(F111="","",VLOOKUP(F111,Parts!A:J,10,FALSE))</f>
        <v>USBM1X4</v>
      </c>
      <c r="K111" s="12" t="str">
        <f>IF(F111="","",VLOOKUP(F111,Parts!A:N,14,FALSE))</f>
        <v>PLO-U-104-SCA-SCA</v>
      </c>
      <c r="L111" s="33" t="s">
        <v>300</v>
      </c>
      <c r="M111" s="33" t="s">
        <v>301</v>
      </c>
      <c r="N111" s="8">
        <f>IF(F111="","",L$107-Q111-R111)</f>
        <v>-12.165429219346263</v>
      </c>
      <c r="O111" s="8">
        <f t="shared" si="10"/>
        <v>3.5000000000000003E-2</v>
      </c>
      <c r="P111" s="8">
        <f t="shared" si="12"/>
        <v>-12.200429219346264</v>
      </c>
      <c r="Q111" s="8">
        <f>(B111*Standards!D$15)+Q110</f>
        <v>1.0859596932492885</v>
      </c>
      <c r="R111" s="8">
        <f t="shared" si="11"/>
        <v>0.21000000000000002</v>
      </c>
    </row>
    <row r="112" spans="1:26" x14ac:dyDescent="0.25">
      <c r="A112" s="35">
        <v>4</v>
      </c>
      <c r="B112" s="34"/>
      <c r="C112" s="50"/>
      <c r="D112" s="51"/>
      <c r="E112" s="16"/>
      <c r="F112" s="13"/>
      <c r="G112" s="56"/>
      <c r="H112" s="6" t="str">
        <f>IF(F112="","",N112-VLOOKUP(F112,Parts!A:F,6,FALSE))</f>
        <v/>
      </c>
      <c r="I112" s="6" t="str">
        <f>IF(F112="","",IF(F112=0,"",H112-(Standards!D$14*L$5)-(Standards!D$15*K$5)))</f>
        <v/>
      </c>
      <c r="J112" s="12" t="str">
        <f>IF(F112="","",VLOOKUP(F112,Parts!A:J,10,FALSE))</f>
        <v/>
      </c>
      <c r="K112" s="12" t="str">
        <f>IF(F112="","",VLOOKUP(F112,Parts!A:N,14,FALSE))</f>
        <v/>
      </c>
      <c r="L112" s="33"/>
      <c r="M112" s="33"/>
      <c r="N112" s="8" t="str">
        <f>IF(F112="","",L$107-Q112-R112)</f>
        <v/>
      </c>
      <c r="O112" s="8">
        <f t="shared" si="10"/>
        <v>3.5000000000000003E-2</v>
      </c>
      <c r="P112" s="8" t="str">
        <f t="shared" si="12"/>
        <v/>
      </c>
      <c r="Q112" s="8">
        <f>(B112*Standards!D$15)+Q111</f>
        <v>1.0859596932492885</v>
      </c>
      <c r="R112" s="8">
        <f t="shared" si="11"/>
        <v>0.21000000000000002</v>
      </c>
    </row>
    <row r="113" spans="1:26" x14ac:dyDescent="0.25">
      <c r="A113" s="35">
        <v>5</v>
      </c>
      <c r="B113" s="34"/>
      <c r="C113" s="50"/>
      <c r="D113" s="51"/>
      <c r="E113" s="16"/>
      <c r="F113" s="13"/>
      <c r="G113" s="55"/>
      <c r="H113" s="6" t="str">
        <f>IF(F113="","",N113-VLOOKUP(F113,Parts!A:F,6,FALSE))</f>
        <v/>
      </c>
      <c r="I113" s="6" t="str">
        <f>IF(F113="","",IF(F113=0,"",H113-(Standards!D$14*L$5)-(Standards!D$15*K$5)))</f>
        <v/>
      </c>
      <c r="J113" s="12" t="str">
        <f>IF(F113="","",VLOOKUP(F113,Parts!A:J,10,FALSE))</f>
        <v/>
      </c>
      <c r="K113" s="12" t="str">
        <f>IF(F113="","",VLOOKUP(F113,Parts!A:N,14,FALSE))</f>
        <v/>
      </c>
      <c r="L113" s="33"/>
      <c r="M113" s="33"/>
      <c r="N113" s="8" t="str">
        <f>IF(F113="","",L$107-Q113-R113)</f>
        <v/>
      </c>
      <c r="O113" s="8">
        <f t="shared" si="10"/>
        <v>3.5000000000000003E-2</v>
      </c>
      <c r="P113" s="8" t="str">
        <f t="shared" si="12"/>
        <v/>
      </c>
      <c r="Q113" s="8">
        <f>(B113*Standards!D$15)+Q112</f>
        <v>1.0859596932492885</v>
      </c>
      <c r="R113" s="8">
        <f t="shared" si="11"/>
        <v>0.21000000000000002</v>
      </c>
    </row>
    <row r="114" spans="1:26" x14ac:dyDescent="0.25">
      <c r="A114" s="35">
        <v>6</v>
      </c>
      <c r="B114" s="34"/>
      <c r="C114" s="50"/>
      <c r="D114" s="51"/>
      <c r="E114" s="16"/>
      <c r="F114" s="13"/>
      <c r="G114" s="56"/>
      <c r="H114" s="6" t="str">
        <f>IF(F114="","",N114-VLOOKUP(F114,Parts!A:F,6,FALSE))</f>
        <v/>
      </c>
      <c r="I114" s="6" t="str">
        <f>IF(F114="","",IF(F114=0,"",H114-(Standards!D$14*L$5)-(Standards!D$15*K$5)))</f>
        <v/>
      </c>
      <c r="J114" s="12" t="str">
        <f>IF(F114="","",VLOOKUP(F114,Parts!A:J,10,FALSE))</f>
        <v/>
      </c>
      <c r="K114" s="12" t="str">
        <f>IF(F114="","",VLOOKUP(F114,Parts!A:N,14,FALSE))</f>
        <v/>
      </c>
      <c r="L114" s="33"/>
      <c r="M114" s="33"/>
      <c r="N114" s="8" t="str">
        <f>IF(F114="","",L$107-Q114-R114)</f>
        <v/>
      </c>
      <c r="O114" s="8">
        <f t="shared" si="10"/>
        <v>3.5000000000000003E-2</v>
      </c>
      <c r="P114" s="8" t="str">
        <f t="shared" si="12"/>
        <v/>
      </c>
      <c r="Q114" s="8">
        <f>(B114*Standards!D$15)+Q113</f>
        <v>1.0859596932492885</v>
      </c>
      <c r="R114" s="8">
        <f t="shared" si="11"/>
        <v>0.21000000000000002</v>
      </c>
    </row>
    <row r="115" spans="1:26" x14ac:dyDescent="0.25">
      <c r="A115" s="35">
        <v>7</v>
      </c>
      <c r="B115" s="34"/>
      <c r="C115" s="50"/>
      <c r="D115" s="51"/>
      <c r="E115" s="16"/>
      <c r="F115" s="13"/>
      <c r="G115" s="56"/>
      <c r="H115" s="6" t="str">
        <f>IF(F115="","",N115-VLOOKUP(F115,Parts!A:F,6,FALSE))</f>
        <v/>
      </c>
      <c r="I115" s="6" t="str">
        <f>IF(F115="","",IF(F115=0,"",H115-(Standards!D$14*L$5)-(Standards!D$15*K$5)))</f>
        <v/>
      </c>
      <c r="J115" s="12" t="str">
        <f>IF(F115="","",VLOOKUP(F115,Parts!A:J,10,FALSE))</f>
        <v/>
      </c>
      <c r="K115" s="12" t="str">
        <f>IF(F115="","",VLOOKUP(F115,Parts!A:N,14,FALSE))</f>
        <v/>
      </c>
      <c r="L115" s="33"/>
      <c r="M115" s="33"/>
      <c r="N115" s="8" t="str">
        <f>IF(F115="","",L$107-Q115-R115)</f>
        <v/>
      </c>
      <c r="O115" s="8">
        <f t="shared" si="10"/>
        <v>3.5000000000000003E-2</v>
      </c>
      <c r="P115" s="8" t="str">
        <f t="shared" si="12"/>
        <v/>
      </c>
      <c r="Q115" s="8">
        <f>(B115*Standards!D$15)+Q114</f>
        <v>1.0859596932492885</v>
      </c>
      <c r="R115" s="8">
        <f t="shared" si="11"/>
        <v>0.21000000000000002</v>
      </c>
    </row>
    <row r="116" spans="1:26" x14ac:dyDescent="0.25">
      <c r="A116" s="35">
        <v>8</v>
      </c>
      <c r="B116" s="34"/>
      <c r="C116" s="50"/>
      <c r="D116" s="51"/>
      <c r="E116" s="16"/>
      <c r="F116" s="13"/>
      <c r="G116" s="40"/>
      <c r="H116" s="6" t="str">
        <f>IF(F116="","",N116-VLOOKUP(F116,Parts!A:F,6,FALSE))</f>
        <v/>
      </c>
      <c r="I116" s="6" t="str">
        <f>IF(F116="","",IF(F116=0,"",H116-(Standards!D$14*L$5)-(Standards!D$15*K$5)))</f>
        <v/>
      </c>
      <c r="J116" s="12" t="str">
        <f>IF(F116="","",VLOOKUP(F116,Parts!A:J,10,FALSE))</f>
        <v/>
      </c>
      <c r="K116" s="12" t="str">
        <f>IF(F116="","",VLOOKUP(F116,Parts!A:N,14,FALSE))</f>
        <v/>
      </c>
      <c r="L116" s="33"/>
      <c r="M116" s="33"/>
      <c r="N116" s="8" t="str">
        <f>IF(F116="","",L$107-Q116-R116)</f>
        <v/>
      </c>
      <c r="O116" s="8">
        <f t="shared" si="10"/>
        <v>3.5000000000000003E-2</v>
      </c>
      <c r="P116" s="8" t="str">
        <f t="shared" si="12"/>
        <v/>
      </c>
      <c r="Q116" s="8">
        <f>(B116*Standards!D$15)+Q115</f>
        <v>1.0859596932492885</v>
      </c>
      <c r="R116" s="8">
        <f t="shared" si="11"/>
        <v>0.21000000000000002</v>
      </c>
    </row>
    <row r="117" spans="1:26" x14ac:dyDescent="0.25">
      <c r="A117" s="35">
        <v>9</v>
      </c>
      <c r="B117" s="34"/>
      <c r="C117" s="50"/>
      <c r="D117" s="52"/>
      <c r="E117" s="17"/>
      <c r="F117" s="13"/>
      <c r="G117" s="40"/>
      <c r="H117" s="6" t="str">
        <f>IF(F117="","",N117-VLOOKUP(F117,Parts!A:F,6,FALSE))</f>
        <v/>
      </c>
      <c r="I117" s="6" t="str">
        <f>IF(F117="","",IF(F117=0,"",H117-(Standards!D$14*L$5)-(Standards!D$15*K$5)))</f>
        <v/>
      </c>
      <c r="J117" s="12" t="str">
        <f>IF(F117="","",VLOOKUP(F117,Parts!A:J,10,FALSE))</f>
        <v/>
      </c>
      <c r="K117" s="12" t="str">
        <f>IF(F117="","",VLOOKUP(F117,Parts!A:N,14,FALSE))</f>
        <v/>
      </c>
      <c r="L117" s="33"/>
      <c r="M117" s="33"/>
      <c r="N117" s="8" t="str">
        <f>IF(F117="","",L$107-Q117-R117)</f>
        <v/>
      </c>
      <c r="O117" s="8">
        <f t="shared" si="10"/>
        <v>3.5000000000000003E-2</v>
      </c>
      <c r="P117" s="8" t="str">
        <f t="shared" si="12"/>
        <v/>
      </c>
      <c r="Q117" s="8">
        <f>(B117*Standards!D$15)+Q116</f>
        <v>1.0859596932492885</v>
      </c>
      <c r="R117" s="8">
        <f t="shared" si="11"/>
        <v>0.21000000000000002</v>
      </c>
    </row>
    <row r="118" spans="1:26" s="8" customFormat="1" x14ac:dyDescent="0.25">
      <c r="A118" s="35">
        <v>10</v>
      </c>
      <c r="B118" s="34"/>
      <c r="C118" s="50"/>
      <c r="D118" s="52"/>
      <c r="E118" s="17"/>
      <c r="F118" s="13"/>
      <c r="G118" s="40"/>
      <c r="H118" s="6" t="str">
        <f>IF(F118="","",N118-VLOOKUP(F118,Parts!A:F,6,FALSE))</f>
        <v/>
      </c>
      <c r="I118" s="6" t="str">
        <f>IF(F118="","",IF(F118=0,"",H118-(Standards!D$14*L$5)-(Standards!D$15*K$5)))</f>
        <v/>
      </c>
      <c r="J118" s="12" t="str">
        <f>IF(F118="","",VLOOKUP(F118,Parts!A:J,10,FALSE))</f>
        <v/>
      </c>
      <c r="K118" s="12" t="str">
        <f>IF(F118="","",VLOOKUP(F118,Parts!A:N,14,FALSE))</f>
        <v/>
      </c>
      <c r="L118" s="33"/>
      <c r="M118" s="33"/>
      <c r="N118" s="8" t="str">
        <f>IF(F118="","",L$107-Q118-R118)</f>
        <v/>
      </c>
      <c r="O118" s="8">
        <f t="shared" si="10"/>
        <v>3.5000000000000003E-2</v>
      </c>
      <c r="P118" s="8" t="str">
        <f t="shared" si="12"/>
        <v/>
      </c>
      <c r="Q118" s="8">
        <f>(B118*Standards!D$15)+Q117</f>
        <v>1.0859596932492885</v>
      </c>
      <c r="R118" s="8">
        <f t="shared" si="11"/>
        <v>0.21000000000000002</v>
      </c>
      <c r="T118" s="59"/>
      <c r="U118" s="59"/>
      <c r="V118" s="59"/>
      <c r="W118" s="59"/>
      <c r="X118" s="59"/>
      <c r="Y118" s="59"/>
      <c r="Z118" s="59"/>
    </row>
    <row r="119" spans="1:26" s="8" customFormat="1" x14ac:dyDescent="0.25">
      <c r="A119" s="35">
        <v>11</v>
      </c>
      <c r="B119" s="34"/>
      <c r="C119" s="50"/>
      <c r="D119" s="51"/>
      <c r="E119" s="18"/>
      <c r="F119" s="13"/>
      <c r="G119" s="40"/>
      <c r="H119" s="6" t="str">
        <f>IF(F119="","",N119-VLOOKUP(F119,Parts!A:F,6,FALSE))</f>
        <v/>
      </c>
      <c r="I119" s="6" t="str">
        <f>IF(F119="","",IF(F119=0,"",H119-(Standards!D$14*L$5)-(Standards!D$15*K$5)))</f>
        <v/>
      </c>
      <c r="J119" s="12" t="str">
        <f>IF(F119="","",VLOOKUP(F119,Parts!A:J,10,FALSE))</f>
        <v/>
      </c>
      <c r="K119" s="12" t="str">
        <f>IF(F119="","",VLOOKUP(F119,Parts!A:N,14,FALSE))</f>
        <v/>
      </c>
      <c r="L119" s="33"/>
      <c r="M119" s="33"/>
      <c r="N119" s="8" t="str">
        <f>IF(F119="","",L$107-Q119-R119)</f>
        <v/>
      </c>
      <c r="O119" s="8">
        <f t="shared" si="10"/>
        <v>3.5000000000000003E-2</v>
      </c>
      <c r="P119" s="8" t="str">
        <f t="shared" si="12"/>
        <v/>
      </c>
      <c r="Q119" s="8">
        <f>(B119*Standards!D$15)+Q118</f>
        <v>1.0859596932492885</v>
      </c>
      <c r="R119" s="8">
        <f t="shared" si="11"/>
        <v>0.21000000000000002</v>
      </c>
      <c r="T119" s="59"/>
      <c r="U119" s="59"/>
      <c r="V119" s="59"/>
      <c r="W119" s="59"/>
      <c r="X119" s="59"/>
      <c r="Y119" s="59"/>
      <c r="Z119" s="59"/>
    </row>
    <row r="120" spans="1:26" s="8" customFormat="1" x14ac:dyDescent="0.25">
      <c r="A120" s="35">
        <v>12</v>
      </c>
      <c r="B120" s="34"/>
      <c r="C120" s="50"/>
      <c r="D120" s="52"/>
      <c r="E120" s="17"/>
      <c r="F120" s="13"/>
      <c r="G120" s="40"/>
      <c r="H120" s="6" t="str">
        <f>IF(F120="","",N120-VLOOKUP(F120,Parts!A:F,6,FALSE))</f>
        <v/>
      </c>
      <c r="I120" s="6" t="str">
        <f>IF(F120="","",IF(F120=0,"",H120-(Standards!D$14*L$5)-(Standards!D$15*K$5)))</f>
        <v/>
      </c>
      <c r="J120" s="12" t="str">
        <f>IF(F120="","",VLOOKUP(F120,Parts!A:J,10,FALSE))</f>
        <v/>
      </c>
      <c r="K120" s="12" t="str">
        <f>IF(F120="","",VLOOKUP(F120,Parts!A:N,14,FALSE))</f>
        <v/>
      </c>
      <c r="L120" s="33"/>
      <c r="M120" s="33"/>
      <c r="N120" s="8" t="str">
        <f>IF(F120="","",L$107-Q120-R120)</f>
        <v/>
      </c>
      <c r="O120" s="8">
        <f t="shared" si="10"/>
        <v>3.5000000000000003E-2</v>
      </c>
      <c r="P120" s="8" t="str">
        <f t="shared" si="12"/>
        <v/>
      </c>
      <c r="Q120" s="8">
        <f>(B120*Standards!D$15)+Q119</f>
        <v>1.0859596932492885</v>
      </c>
      <c r="R120" s="8">
        <f t="shared" si="11"/>
        <v>0.21000000000000002</v>
      </c>
      <c r="T120" s="59"/>
      <c r="U120" s="59"/>
      <c r="V120" s="59"/>
      <c r="W120" s="59"/>
      <c r="X120" s="59"/>
      <c r="Y120" s="59"/>
      <c r="Z120" s="59"/>
    </row>
    <row r="121" spans="1:26" s="8" customFormat="1" x14ac:dyDescent="0.25">
      <c r="A121" s="35">
        <v>13</v>
      </c>
      <c r="B121" s="34"/>
      <c r="C121" s="50"/>
      <c r="D121" s="53"/>
      <c r="E121" s="16"/>
      <c r="F121" s="13"/>
      <c r="G121" s="40"/>
      <c r="H121" s="6" t="str">
        <f>IF(F121="","",N121-VLOOKUP(F121,Parts!A:F,6,FALSE))</f>
        <v/>
      </c>
      <c r="I121" s="6" t="str">
        <f>IF(F121="","",IF(F121=0,"",H121-(Standards!D$14*L$5)-(Standards!D$15*K$5)))</f>
        <v/>
      </c>
      <c r="J121" s="12" t="str">
        <f>IF(F121="","",VLOOKUP(F121,Parts!A:J,10,FALSE))</f>
        <v/>
      </c>
      <c r="K121" s="12" t="str">
        <f>IF(F121="","",VLOOKUP(F121,Parts!A:N,14,FALSE))</f>
        <v/>
      </c>
      <c r="L121" s="33"/>
      <c r="M121" s="33"/>
      <c r="N121" s="8" t="str">
        <f>IF(F121="","",L$107-Q121-R121)</f>
        <v/>
      </c>
      <c r="O121" s="8">
        <f t="shared" si="10"/>
        <v>3.5000000000000003E-2</v>
      </c>
      <c r="P121" s="8" t="str">
        <f t="shared" si="12"/>
        <v/>
      </c>
      <c r="Q121" s="8">
        <f>(B121*Standards!D$15)+Q120</f>
        <v>1.0859596932492885</v>
      </c>
      <c r="R121" s="8">
        <f t="shared" si="11"/>
        <v>0.21000000000000002</v>
      </c>
      <c r="T121" s="59"/>
      <c r="U121" s="59"/>
      <c r="V121" s="59"/>
      <c r="W121" s="59"/>
      <c r="X121" s="59"/>
      <c r="Y121" s="59"/>
      <c r="Z121" s="59"/>
    </row>
    <row r="122" spans="1:26" s="8" customFormat="1" x14ac:dyDescent="0.25">
      <c r="A122" s="35">
        <v>14</v>
      </c>
      <c r="B122" s="34"/>
      <c r="C122" s="50"/>
      <c r="D122" s="53"/>
      <c r="E122" s="16"/>
      <c r="F122" s="13"/>
      <c r="G122" s="40"/>
      <c r="H122" s="6" t="str">
        <f>IF(F122="","",N122-VLOOKUP(F122,Parts!A:F,6,FALSE))</f>
        <v/>
      </c>
      <c r="I122" s="6" t="str">
        <f>IF(F122="","",IF(F122=0,"",H122-(Standards!D$14*L$5)-(Standards!D$15*K$5)))</f>
        <v/>
      </c>
      <c r="J122" s="12" t="str">
        <f>IF(F122="","",VLOOKUP(F122,Parts!A:J,10,FALSE))</f>
        <v/>
      </c>
      <c r="K122" s="12" t="str">
        <f>IF(F122="","",VLOOKUP(F122,Parts!A:N,14,FALSE))</f>
        <v/>
      </c>
      <c r="L122" s="33"/>
      <c r="M122" s="33"/>
      <c r="N122" s="8" t="str">
        <f>IF(F122="","",L$107-Q122-R122)</f>
        <v/>
      </c>
      <c r="O122" s="8">
        <f t="shared" si="10"/>
        <v>3.5000000000000003E-2</v>
      </c>
      <c r="P122" s="8" t="str">
        <f t="shared" si="12"/>
        <v/>
      </c>
      <c r="Q122" s="8">
        <f>(B122*Standards!D$15)+Q121</f>
        <v>1.0859596932492885</v>
      </c>
      <c r="R122" s="8">
        <f t="shared" si="11"/>
        <v>0.21000000000000002</v>
      </c>
      <c r="T122" s="59"/>
      <c r="U122" s="59"/>
      <c r="V122" s="59"/>
      <c r="W122" s="59"/>
      <c r="X122" s="59"/>
      <c r="Y122" s="59"/>
      <c r="Z122" s="59"/>
    </row>
    <row r="123" spans="1:26" s="8" customFormat="1" x14ac:dyDescent="0.25">
      <c r="A123" s="35">
        <v>15</v>
      </c>
      <c r="B123" s="34"/>
      <c r="C123" s="50"/>
      <c r="D123" s="53"/>
      <c r="E123" s="16"/>
      <c r="F123" s="13"/>
      <c r="G123" s="40"/>
      <c r="H123" s="6" t="str">
        <f>IF(F123="","",N123-VLOOKUP(F123,Parts!A:F,6,FALSE))</f>
        <v/>
      </c>
      <c r="I123" s="6" t="str">
        <f>IF(F123="","",IF(F123=0,"",H123-(Standards!D$14*L$5)-(Standards!D$15*K$5)))</f>
        <v/>
      </c>
      <c r="J123" s="12" t="str">
        <f>IF(F123="","",VLOOKUP(F123,Parts!A:J,10,FALSE))</f>
        <v/>
      </c>
      <c r="K123" s="12" t="str">
        <f>IF(F123="","",VLOOKUP(F123,Parts!A:N,14,FALSE))</f>
        <v/>
      </c>
      <c r="L123" s="33"/>
      <c r="M123" s="33"/>
      <c r="N123" s="8" t="str">
        <f>IF(F123="","",L$107-Q123-R123)</f>
        <v/>
      </c>
      <c r="O123" s="8">
        <f t="shared" si="10"/>
        <v>3.5000000000000003E-2</v>
      </c>
      <c r="P123" s="8" t="str">
        <f t="shared" si="12"/>
        <v/>
      </c>
      <c r="Q123" s="8">
        <f>(B123*Standards!D$15)+Q122</f>
        <v>1.0859596932492885</v>
      </c>
      <c r="R123" s="8">
        <f t="shared" si="11"/>
        <v>0.21000000000000002</v>
      </c>
      <c r="T123" s="59"/>
      <c r="U123" s="59"/>
      <c r="V123" s="59"/>
      <c r="W123" s="59"/>
      <c r="X123" s="59"/>
      <c r="Y123" s="59"/>
      <c r="Z123" s="59"/>
    </row>
    <row r="124" spans="1:26" s="8" customFormat="1" x14ac:dyDescent="0.25">
      <c r="A124" s="35">
        <v>16</v>
      </c>
      <c r="B124" s="34"/>
      <c r="C124" s="50"/>
      <c r="D124" s="53"/>
      <c r="E124" s="16"/>
      <c r="F124" s="13"/>
      <c r="G124" s="40"/>
      <c r="H124" s="6" t="str">
        <f>IF(F124="","",N124-VLOOKUP(F124,Parts!A:F,6,FALSE))</f>
        <v/>
      </c>
      <c r="I124" s="6" t="str">
        <f>IF(F124="","",IF(F124=0,"",H124-(Standards!D$14*L$5)-(Standards!D$15*K$5)))</f>
        <v/>
      </c>
      <c r="J124" s="12" t="str">
        <f>IF(F124="","",VLOOKUP(F124,Parts!A:J,10,FALSE))</f>
        <v/>
      </c>
      <c r="K124" s="12" t="str">
        <f>IF(F124="","",VLOOKUP(F124,Parts!A:N,14,FALSE))</f>
        <v/>
      </c>
      <c r="L124" s="33"/>
      <c r="M124" s="33"/>
      <c r="N124" s="8" t="str">
        <f>IF(F124="","",L$107-Q124-R124)</f>
        <v/>
      </c>
      <c r="O124" s="8">
        <f t="shared" si="10"/>
        <v>3.5000000000000003E-2</v>
      </c>
      <c r="P124" s="8" t="str">
        <f t="shared" si="12"/>
        <v/>
      </c>
      <c r="Q124" s="8">
        <f>(B124*Standards!D$15)+Q123</f>
        <v>1.0859596932492885</v>
      </c>
      <c r="R124" s="8">
        <f t="shared" si="11"/>
        <v>0.21000000000000002</v>
      </c>
      <c r="T124" s="59"/>
      <c r="U124" s="59"/>
      <c r="V124" s="59"/>
      <c r="W124" s="59"/>
      <c r="X124" s="59"/>
      <c r="Y124" s="59"/>
      <c r="Z124" s="59"/>
    </row>
    <row r="126" spans="1:26" ht="18.75" x14ac:dyDescent="0.3">
      <c r="A126" s="94" t="s">
        <v>214</v>
      </c>
      <c r="C126" s="96" t="s">
        <v>191</v>
      </c>
      <c r="K126" s="93" t="s">
        <v>190</v>
      </c>
      <c r="L126" s="95">
        <f>P13</f>
        <v>-11.165152399995124</v>
      </c>
    </row>
    <row r="127" spans="1:26" s="7" customFormat="1" ht="40.5" customHeight="1" x14ac:dyDescent="0.25">
      <c r="A127" s="20" t="s">
        <v>151</v>
      </c>
      <c r="B127" s="21" t="s">
        <v>152</v>
      </c>
      <c r="C127" s="21" t="s">
        <v>153</v>
      </c>
      <c r="D127" s="19" t="s">
        <v>154</v>
      </c>
      <c r="E127" s="19" t="s">
        <v>155</v>
      </c>
      <c r="F127" s="19" t="s">
        <v>156</v>
      </c>
      <c r="G127" s="19" t="s">
        <v>157</v>
      </c>
      <c r="H127" s="19" t="s">
        <v>158</v>
      </c>
      <c r="I127" s="19" t="s">
        <v>159</v>
      </c>
      <c r="J127" s="19" t="s">
        <v>87</v>
      </c>
      <c r="K127" s="20" t="s">
        <v>160</v>
      </c>
      <c r="L127" s="19" t="s">
        <v>161</v>
      </c>
      <c r="M127" s="20" t="s">
        <v>162</v>
      </c>
      <c r="N127" s="8" t="s">
        <v>163</v>
      </c>
      <c r="O127" s="8" t="s">
        <v>164</v>
      </c>
      <c r="P127" s="8" t="s">
        <v>165</v>
      </c>
      <c r="Q127" s="8">
        <f>Q13</f>
        <v>0.97942600065836705</v>
      </c>
      <c r="R127" s="8">
        <f>R13</f>
        <v>0.21000000000000002</v>
      </c>
      <c r="S127" s="36"/>
      <c r="T127" s="61"/>
      <c r="U127" s="61"/>
      <c r="V127" s="61"/>
      <c r="W127" s="61"/>
      <c r="X127" s="61"/>
      <c r="Y127" s="61"/>
      <c r="Z127" s="61"/>
    </row>
    <row r="128" spans="1:26" x14ac:dyDescent="0.25">
      <c r="A128" s="35">
        <v>1</v>
      </c>
      <c r="B128" s="34">
        <f>389+100</f>
        <v>489</v>
      </c>
      <c r="C128" s="50" t="s">
        <v>215</v>
      </c>
      <c r="D128" s="51" t="s">
        <v>193</v>
      </c>
      <c r="E128" s="18" t="s">
        <v>91</v>
      </c>
      <c r="F128" s="13">
        <v>4</v>
      </c>
      <c r="G128" s="40"/>
      <c r="H128" s="6">
        <f>IF(F128="","",N128-VLOOKUP(F128,Parts!A:F,6,FALSE))</f>
        <v>-19.680254447031857</v>
      </c>
      <c r="I128" s="6">
        <f>IF(F128="","",IF(F128=0,"",H128-(Standards!D$14*L$5)-(Standards!D$15*K$5)))</f>
        <v>-20.03570244205752</v>
      </c>
      <c r="J128" s="12" t="str">
        <f>IF(F128="","",VLOOKUP(F128,Parts!A:J,10,FALSE))</f>
        <v>USBM1X4</v>
      </c>
      <c r="K128" s="12" t="str">
        <f>IF(F128="","",VLOOKUP(F128,Parts!A:N,14,FALSE))</f>
        <v>PLO-U-104-SCA-SCA</v>
      </c>
      <c r="L128" s="33" t="s">
        <v>302</v>
      </c>
      <c r="M128" s="33" t="s">
        <v>303</v>
      </c>
      <c r="N128" s="8">
        <f>IF(F128="","",L$126-Q128-R128)</f>
        <v>-12.440254447031856</v>
      </c>
      <c r="O128" s="8">
        <f t="shared" ref="O128:O137" si="13">VLOOKUP(H$5,Losses,3,FALSE)</f>
        <v>3.5000000000000003E-2</v>
      </c>
      <c r="P128" s="8">
        <f>IF(F128="","",N128-O128)</f>
        <v>-12.475254447031856</v>
      </c>
      <c r="Q128" s="8">
        <f>(B128*Standards!D$15)+Q127</f>
        <v>1.0301020470367335</v>
      </c>
      <c r="R128" s="8">
        <f t="shared" ref="R128:R137" si="14">IF(F128&lt;&gt;"",VLOOKUP(H$5,Losses,3,FALSE)+R127,R127)</f>
        <v>0.24500000000000002</v>
      </c>
    </row>
    <row r="129" spans="1:26" x14ac:dyDescent="0.25">
      <c r="A129" s="35">
        <v>2</v>
      </c>
      <c r="B129" s="34"/>
      <c r="C129" s="50"/>
      <c r="D129" s="51"/>
      <c r="E129" s="16"/>
      <c r="F129" s="13"/>
      <c r="G129" s="55"/>
      <c r="H129" s="6" t="str">
        <f>IF(F129="","",N129-VLOOKUP(F129,Parts!A:F,6,FALSE))</f>
        <v/>
      </c>
      <c r="I129" s="6" t="str">
        <f>IF(F129="","",IF(F129=0,"",H129-(Standards!D$14*L$5)-(Standards!D$15*K$5)))</f>
        <v/>
      </c>
      <c r="J129" s="12" t="str">
        <f>IF(F129="","",VLOOKUP(F129,Parts!A:J,10,FALSE))</f>
        <v/>
      </c>
      <c r="K129" s="12" t="str">
        <f>IF(F129="","",VLOOKUP(F129,Parts!A:N,14,FALSE))</f>
        <v/>
      </c>
      <c r="L129" s="33"/>
      <c r="M129" s="33"/>
      <c r="N129" s="8" t="str">
        <f>IF(F129="","",L$126-Q129-R129)</f>
        <v/>
      </c>
      <c r="O129" s="8">
        <f t="shared" si="13"/>
        <v>3.5000000000000003E-2</v>
      </c>
      <c r="P129" s="8" t="str">
        <f t="shared" ref="P129:P137" si="15">IF(F129="","",N129-O129)</f>
        <v/>
      </c>
      <c r="Q129" s="8">
        <f>(B129*Standards!D$15)+Q128</f>
        <v>1.0301020470367335</v>
      </c>
      <c r="R129" s="8">
        <f t="shared" si="14"/>
        <v>0.24500000000000002</v>
      </c>
    </row>
    <row r="130" spans="1:26" x14ac:dyDescent="0.25">
      <c r="A130" s="35">
        <v>3</v>
      </c>
      <c r="B130" s="34"/>
      <c r="C130" s="50"/>
      <c r="D130" s="51"/>
      <c r="E130" s="17"/>
      <c r="F130" s="13"/>
      <c r="G130" s="40"/>
      <c r="H130" s="6" t="str">
        <f>IF(F130="","",N130-VLOOKUP(F130,Parts!A:F,6,FALSE))</f>
        <v/>
      </c>
      <c r="I130" s="6" t="str">
        <f>IF(F130="","",IF(F130=0,"",H130-(Standards!D$14*L$5)-(Standards!D$15*K$5)))</f>
        <v/>
      </c>
      <c r="J130" s="12" t="str">
        <f>IF(F130="","",VLOOKUP(F130,Parts!A:J,10,FALSE))</f>
        <v/>
      </c>
      <c r="K130" s="12" t="str">
        <f>IF(F130="","",VLOOKUP(F130,Parts!A:N,14,FALSE))</f>
        <v/>
      </c>
      <c r="L130" s="33"/>
      <c r="M130" s="33"/>
      <c r="N130" s="8" t="str">
        <f>IF(F130="","",L$126-Q130-R130)</f>
        <v/>
      </c>
      <c r="O130" s="8">
        <f t="shared" si="13"/>
        <v>3.5000000000000003E-2</v>
      </c>
      <c r="P130" s="8" t="str">
        <f t="shared" si="15"/>
        <v/>
      </c>
      <c r="Q130" s="8">
        <f>(B130*Standards!D$15)+Q129</f>
        <v>1.0301020470367335</v>
      </c>
      <c r="R130" s="8">
        <f t="shared" si="14"/>
        <v>0.24500000000000002</v>
      </c>
    </row>
    <row r="131" spans="1:26" x14ac:dyDescent="0.25">
      <c r="A131" s="35">
        <v>4</v>
      </c>
      <c r="B131" s="34"/>
      <c r="C131" s="50"/>
      <c r="D131" s="51"/>
      <c r="E131" s="16"/>
      <c r="F131" s="13"/>
      <c r="G131" s="56"/>
      <c r="H131" s="6" t="str">
        <f>IF(F131="","",N131-VLOOKUP(F131,Parts!A:F,6,FALSE))</f>
        <v/>
      </c>
      <c r="I131" s="6" t="str">
        <f>IF(F131="","",IF(F131=0,"",H131-(Standards!D$14*L$5)-(Standards!D$15*K$5)))</f>
        <v/>
      </c>
      <c r="J131" s="12" t="str">
        <f>IF(F131="","",VLOOKUP(F131,Parts!A:J,10,FALSE))</f>
        <v/>
      </c>
      <c r="K131" s="12" t="str">
        <f>IF(F131="","",VLOOKUP(F131,Parts!A:N,14,FALSE))</f>
        <v/>
      </c>
      <c r="L131" s="33"/>
      <c r="M131" s="33"/>
      <c r="N131" s="8" t="str">
        <f>IF(F131="","",L$126-Q131-R131)</f>
        <v/>
      </c>
      <c r="O131" s="8">
        <f t="shared" si="13"/>
        <v>3.5000000000000003E-2</v>
      </c>
      <c r="P131" s="8" t="str">
        <f t="shared" si="15"/>
        <v/>
      </c>
      <c r="Q131" s="8">
        <f>(B131*Standards!D$15)+Q130</f>
        <v>1.0301020470367335</v>
      </c>
      <c r="R131" s="8">
        <f t="shared" si="14"/>
        <v>0.24500000000000002</v>
      </c>
    </row>
    <row r="132" spans="1:26" x14ac:dyDescent="0.25">
      <c r="A132" s="35">
        <v>5</v>
      </c>
      <c r="B132" s="34"/>
      <c r="C132" s="50"/>
      <c r="D132" s="51"/>
      <c r="E132" s="16"/>
      <c r="F132" s="13"/>
      <c r="G132" s="55"/>
      <c r="H132" s="6" t="str">
        <f>IF(F132="","",N132-VLOOKUP(F132,Parts!A:F,6,FALSE))</f>
        <v/>
      </c>
      <c r="I132" s="6" t="str">
        <f>IF(F132="","",IF(F132=0,"",H132-(Standards!D$14*L$5)-(Standards!D$15*K$5)))</f>
        <v/>
      </c>
      <c r="J132" s="12" t="str">
        <f>IF(F132="","",VLOOKUP(F132,Parts!A:J,10,FALSE))</f>
        <v/>
      </c>
      <c r="K132" s="12" t="str">
        <f>IF(F132="","",VLOOKUP(F132,Parts!A:N,14,FALSE))</f>
        <v/>
      </c>
      <c r="L132" s="33"/>
      <c r="M132" s="33"/>
      <c r="N132" s="8" t="str">
        <f>IF(F132="","",L$126-Q132-R132)</f>
        <v/>
      </c>
      <c r="O132" s="8">
        <f t="shared" si="13"/>
        <v>3.5000000000000003E-2</v>
      </c>
      <c r="P132" s="8" t="str">
        <f t="shared" si="15"/>
        <v/>
      </c>
      <c r="Q132" s="8">
        <f>(B132*Standards!D$15)+Q131</f>
        <v>1.0301020470367335</v>
      </c>
      <c r="R132" s="8">
        <f t="shared" si="14"/>
        <v>0.24500000000000002</v>
      </c>
    </row>
    <row r="133" spans="1:26" x14ac:dyDescent="0.25">
      <c r="A133" s="35">
        <v>6</v>
      </c>
      <c r="B133" s="34"/>
      <c r="C133" s="50"/>
      <c r="D133" s="51"/>
      <c r="E133" s="16"/>
      <c r="F133" s="13"/>
      <c r="G133" s="56"/>
      <c r="H133" s="6" t="str">
        <f>IF(F133="","",N133-VLOOKUP(F133,Parts!A:F,6,FALSE))</f>
        <v/>
      </c>
      <c r="I133" s="6" t="str">
        <f>IF(F133="","",IF(F133=0,"",H133-(Standards!D$14*L$5)-(Standards!D$15*K$5)))</f>
        <v/>
      </c>
      <c r="J133" s="12" t="str">
        <f>IF(F133="","",VLOOKUP(F133,Parts!A:J,10,FALSE))</f>
        <v/>
      </c>
      <c r="K133" s="12" t="str">
        <f>IF(F133="","",VLOOKUP(F133,Parts!A:N,14,FALSE))</f>
        <v/>
      </c>
      <c r="L133" s="33"/>
      <c r="M133" s="33"/>
      <c r="N133" s="8" t="str">
        <f>IF(F133="","",L$126-Q133-R133)</f>
        <v/>
      </c>
      <c r="O133" s="8">
        <f t="shared" si="13"/>
        <v>3.5000000000000003E-2</v>
      </c>
      <c r="P133" s="8" t="str">
        <f t="shared" si="15"/>
        <v/>
      </c>
      <c r="Q133" s="8">
        <f>(B133*Standards!D$15)+Q132</f>
        <v>1.0301020470367335</v>
      </c>
      <c r="R133" s="8">
        <f t="shared" si="14"/>
        <v>0.24500000000000002</v>
      </c>
    </row>
    <row r="134" spans="1:26" x14ac:dyDescent="0.25">
      <c r="A134" s="35">
        <v>7</v>
      </c>
      <c r="B134" s="34"/>
      <c r="C134" s="50"/>
      <c r="D134" s="51"/>
      <c r="E134" s="16"/>
      <c r="F134" s="13"/>
      <c r="G134" s="56"/>
      <c r="H134" s="6" t="str">
        <f>IF(F134="","",N134-VLOOKUP(F134,Parts!A:F,6,FALSE))</f>
        <v/>
      </c>
      <c r="I134" s="6" t="str">
        <f>IF(F134="","",IF(F134=0,"",H134-(Standards!D$14*L$5)-(Standards!D$15*K$5)))</f>
        <v/>
      </c>
      <c r="J134" s="12" t="str">
        <f>IF(F134="","",VLOOKUP(F134,Parts!A:J,10,FALSE))</f>
        <v/>
      </c>
      <c r="K134" s="12" t="str">
        <f>IF(F134="","",VLOOKUP(F134,Parts!A:N,14,FALSE))</f>
        <v/>
      </c>
      <c r="L134" s="33"/>
      <c r="M134" s="33"/>
      <c r="N134" s="8" t="str">
        <f>IF(F134="","",L$126-Q134-R134)</f>
        <v/>
      </c>
      <c r="O134" s="8">
        <f t="shared" si="13"/>
        <v>3.5000000000000003E-2</v>
      </c>
      <c r="P134" s="8" t="str">
        <f t="shared" si="15"/>
        <v/>
      </c>
      <c r="Q134" s="8">
        <f>(B134*Standards!D$15)+Q133</f>
        <v>1.0301020470367335</v>
      </c>
      <c r="R134" s="8">
        <f t="shared" si="14"/>
        <v>0.24500000000000002</v>
      </c>
    </row>
    <row r="135" spans="1:26" x14ac:dyDescent="0.25">
      <c r="A135" s="35">
        <v>8</v>
      </c>
      <c r="B135" s="34"/>
      <c r="C135" s="50"/>
      <c r="D135" s="51"/>
      <c r="E135" s="16"/>
      <c r="F135" s="13"/>
      <c r="G135" s="40"/>
      <c r="H135" s="6" t="str">
        <f>IF(F135="","",N135-VLOOKUP(F135,Parts!A:F,6,FALSE))</f>
        <v/>
      </c>
      <c r="I135" s="6" t="str">
        <f>IF(F135="","",IF(F135=0,"",H135-(Standards!D$14*L$5)-(Standards!D$15*K$5)))</f>
        <v/>
      </c>
      <c r="J135" s="12" t="str">
        <f>IF(F135="","",VLOOKUP(F135,Parts!A:J,10,FALSE))</f>
        <v/>
      </c>
      <c r="K135" s="12" t="str">
        <f>IF(F135="","",VLOOKUP(F135,Parts!A:N,14,FALSE))</f>
        <v/>
      </c>
      <c r="L135" s="33"/>
      <c r="M135" s="33"/>
      <c r="N135" s="8" t="str">
        <f>IF(F135="","",L$126-Q135-R135)</f>
        <v/>
      </c>
      <c r="O135" s="8">
        <f t="shared" si="13"/>
        <v>3.5000000000000003E-2</v>
      </c>
      <c r="P135" s="8" t="str">
        <f t="shared" si="15"/>
        <v/>
      </c>
      <c r="Q135" s="8">
        <f>(B135*Standards!D$15)+Q134</f>
        <v>1.0301020470367335</v>
      </c>
      <c r="R135" s="8">
        <f t="shared" si="14"/>
        <v>0.24500000000000002</v>
      </c>
    </row>
    <row r="136" spans="1:26" x14ac:dyDescent="0.25">
      <c r="A136" s="35">
        <v>9</v>
      </c>
      <c r="B136" s="34"/>
      <c r="C136" s="50"/>
      <c r="D136" s="52"/>
      <c r="E136" s="17"/>
      <c r="F136" s="13"/>
      <c r="G136" s="40"/>
      <c r="H136" s="6" t="str">
        <f>IF(F136="","",N136-VLOOKUP(F136,Parts!A:F,6,FALSE))</f>
        <v/>
      </c>
      <c r="I136" s="6" t="str">
        <f>IF(F136="","",IF(F136=0,"",H136-(Standards!D$14*L$5)-(Standards!D$15*K$5)))</f>
        <v/>
      </c>
      <c r="J136" s="12" t="str">
        <f>IF(F136="","",VLOOKUP(F136,Parts!A:J,10,FALSE))</f>
        <v/>
      </c>
      <c r="K136" s="12" t="str">
        <f>IF(F136="","",VLOOKUP(F136,Parts!A:N,14,FALSE))</f>
        <v/>
      </c>
      <c r="L136" s="33"/>
      <c r="M136" s="33"/>
      <c r="N136" s="8" t="str">
        <f>IF(F136="","",L$126-Q136-R136)</f>
        <v/>
      </c>
      <c r="O136" s="8">
        <f t="shared" si="13"/>
        <v>3.5000000000000003E-2</v>
      </c>
      <c r="P136" s="8" t="str">
        <f t="shared" si="15"/>
        <v/>
      </c>
      <c r="Q136" s="8">
        <f>(B136*Standards!D$15)+Q135</f>
        <v>1.0301020470367335</v>
      </c>
      <c r="R136" s="8">
        <f t="shared" si="14"/>
        <v>0.24500000000000002</v>
      </c>
    </row>
    <row r="137" spans="1:26" s="8" customFormat="1" x14ac:dyDescent="0.25">
      <c r="A137" s="35">
        <v>10</v>
      </c>
      <c r="B137" s="34"/>
      <c r="C137" s="50"/>
      <c r="D137" s="52"/>
      <c r="E137" s="17"/>
      <c r="F137" s="13"/>
      <c r="G137" s="40"/>
      <c r="H137" s="6" t="str">
        <f>IF(F137="","",N137-VLOOKUP(F137,Parts!A:F,6,FALSE))</f>
        <v/>
      </c>
      <c r="I137" s="6" t="str">
        <f>IF(F137="","",IF(F137=0,"",H137-(Standards!D$14*L$5)-(Standards!D$15*K$5)))</f>
        <v/>
      </c>
      <c r="J137" s="12" t="str">
        <f>IF(F137="","",VLOOKUP(F137,Parts!A:J,10,FALSE))</f>
        <v/>
      </c>
      <c r="K137" s="12" t="str">
        <f>IF(F137="","",VLOOKUP(F137,Parts!A:N,14,FALSE))</f>
        <v/>
      </c>
      <c r="L137" s="33"/>
      <c r="M137" s="33"/>
      <c r="N137" s="8" t="str">
        <f>IF(F137="","",L$126-Q137-R137)</f>
        <v/>
      </c>
      <c r="O137" s="8">
        <f t="shared" si="13"/>
        <v>3.5000000000000003E-2</v>
      </c>
      <c r="P137" s="8" t="str">
        <f t="shared" si="15"/>
        <v/>
      </c>
      <c r="Q137" s="8">
        <f>(B137*Standards!D$15)+Q136</f>
        <v>1.0301020470367335</v>
      </c>
      <c r="R137" s="8">
        <f t="shared" si="14"/>
        <v>0.24500000000000002</v>
      </c>
      <c r="T137" s="59"/>
      <c r="U137" s="59"/>
      <c r="V137" s="59"/>
      <c r="W137" s="59"/>
      <c r="X137" s="59"/>
      <c r="Y137" s="59"/>
      <c r="Z137" s="59"/>
    </row>
  </sheetData>
  <sheetProtection algorithmName="SHA-512" hashValue="hSme+gb+eIhVQAsu5Cvbn5up/YdMx/BJ0wby/YVtZzVDIt15cfeK7EqBFCYUGYbOupKfAmujhx/eFwXiLLECaQ==" saltValue="yan9BJZwvOWvRLAphDbjkw==" spinCount="100000" sheet="1" objects="1" scenarios="1" selectLockedCells="1"/>
  <mergeCells count="8">
    <mergeCell ref="K3:K4"/>
    <mergeCell ref="L3:L4"/>
    <mergeCell ref="A1:C1"/>
    <mergeCell ref="B2:D2"/>
    <mergeCell ref="A3:A4"/>
    <mergeCell ref="B3:G4"/>
    <mergeCell ref="H3:H4"/>
    <mergeCell ref="I3:I4"/>
  </mergeCells>
  <conditionalFormatting sqref="H8:H39">
    <cfRule type="containsBlanks" dxfId="50" priority="28">
      <formula>LEN(TRIM(H8))=0</formula>
    </cfRule>
  </conditionalFormatting>
  <conditionalFormatting sqref="I8:I39">
    <cfRule type="containsBlanks" dxfId="49" priority="26">
      <formula>LEN(TRIM(I8))=0</formula>
    </cfRule>
  </conditionalFormatting>
  <conditionalFormatting sqref="B6">
    <cfRule type="cellIs" dxfId="48" priority="25" operator="greaterThan">
      <formula>65000</formula>
    </cfRule>
  </conditionalFormatting>
  <conditionalFormatting sqref="H43:H73">
    <cfRule type="containsBlanks" dxfId="45" priority="23">
      <formula>LEN(TRIM(H43))=0</formula>
    </cfRule>
  </conditionalFormatting>
  <conditionalFormatting sqref="I43:I73">
    <cfRule type="containsBlanks" dxfId="44" priority="21">
      <formula>LEN(TRIM(I43))=0</formula>
    </cfRule>
  </conditionalFormatting>
  <conditionalFormatting sqref="H77:H105">
    <cfRule type="containsBlanks" dxfId="41" priority="15">
      <formula>LEN(TRIM(H77))=0</formula>
    </cfRule>
  </conditionalFormatting>
  <conditionalFormatting sqref="I77:I105">
    <cfRule type="containsBlanks" dxfId="40" priority="13">
      <formula>LEN(TRIM(I77))=0</formula>
    </cfRule>
  </conditionalFormatting>
  <conditionalFormatting sqref="H109:H124">
    <cfRule type="containsBlanks" dxfId="37" priority="11">
      <formula>LEN(TRIM(H109))=0</formula>
    </cfRule>
  </conditionalFormatting>
  <conditionalFormatting sqref="I109:I124">
    <cfRule type="containsBlanks" dxfId="36" priority="9">
      <formula>LEN(TRIM(I109))=0</formula>
    </cfRule>
  </conditionalFormatting>
  <conditionalFormatting sqref="H128:H137">
    <cfRule type="containsBlanks" dxfId="33" priority="3">
      <formula>LEN(TRIM(H128))=0</formula>
    </cfRule>
  </conditionalFormatting>
  <conditionalFormatting sqref="I128:I137">
    <cfRule type="containsBlanks" dxfId="32" priority="1">
      <formula>LEN(TRIM(I128))=0</formula>
    </cfRule>
  </conditionalFormatting>
  <dataValidations count="8">
    <dataValidation allowBlank="1" showInputMessage="1" showErrorMessage="1" errorTitle="Suspicious Value" error="Please enter span values in kilofeet!" sqref="B8:D39 B43:D73 B77:D105 B109:D124 B128:D137" xr:uid="{DDAF508C-8F7D-4E7E-BF0A-D8DCBAE5C2C4}"/>
    <dataValidation type="list" allowBlank="1" showInputMessage="1" showErrorMessage="1" sqref="G8:G39 G43:G73 G77:G105 G109:G124 G128:G137" xr:uid="{53DB8743-A7E6-4303-AFCD-515CED9BCFBC}">
      <formula1>"No,Yes"</formula1>
    </dataValidation>
    <dataValidation type="list" allowBlank="1" showInputMessage="1" showErrorMessage="1" sqref="E2" xr:uid="{0384F2A1-327A-4C92-BF22-76F1968161FD}">
      <formula1>OLT</formula1>
    </dataValidation>
    <dataValidation type="list" allowBlank="1" showInputMessage="1" showErrorMessage="1" sqref="H5" xr:uid="{690C0E93-02C2-4441-B955-965B4F945413}">
      <formula1>"Direct,Spliced,APC,MPO,MPT,UPC"</formula1>
    </dataValidation>
    <dataValidation type="list" allowBlank="1" showInputMessage="1" showErrorMessage="1" sqref="G8:G39 G43:G73 G77:G105 G109:G124 G128:G137" xr:uid="{65192CAD-371F-4246-ABCC-7440D7930778}">
      <formula1>"Y,N"</formula1>
    </dataValidation>
    <dataValidation type="list" allowBlank="1" showInputMessage="1" showErrorMessage="1" sqref="J5" xr:uid="{BFC0411C-B603-4189-A938-6EA25BB89608}">
      <formula1>"Average,Maximum"</formula1>
    </dataValidation>
    <dataValidation type="list" allowBlank="1" showInputMessage="1" showErrorMessage="1" sqref="J2" xr:uid="{A4F09339-4BFB-4FD3-BBE4-3B586D1DD26D}">
      <formula1>"1x4,1x8,1x16,1x32"</formula1>
    </dataValidation>
    <dataValidation type="list" allowBlank="1" showInputMessage="1" showErrorMessage="1" sqref="F8:F39 F43:F73 F77:F105 F109:F124 F128:F137" xr:uid="{9D31D531-298D-4634-80F5-4E7E3EDD07C3}">
      <formula1>Splits</formula1>
    </dataValidation>
  </dataValidations>
  <hyperlinks>
    <hyperlink ref="G9" location="'Splitter 2'!B43" display="Branch 1" xr:uid="{A5D3E1B1-463B-4871-B897-C843327567EC}"/>
    <hyperlink ref="C41" location="'Splitter 2'!G9" display="^ Back to Source ^" xr:uid="{393B7315-9E3D-42CE-922B-4C7907AF7BCD}"/>
    <hyperlink ref="G44" location="'Splitter 2'!B77" display="Branch 2" xr:uid="{E7048799-2C6C-43B6-95DA-EEDD533EF947}"/>
    <hyperlink ref="C75" location="'Splitter 2'!G44" display="^ Back to Source ^" xr:uid="{A2466025-10F7-432B-8AB1-47FCB9E68B00}"/>
    <hyperlink ref="G10" location="'Splitter 2'!B109" display="Branch 3" xr:uid="{8F8B7B33-A6FB-42AD-BB85-20BA634E492F}"/>
    <hyperlink ref="C107" location="'Splitter 2'!G10" display="^ Back to Source ^" xr:uid="{9E128E99-B614-4B54-B299-8E34BA998638}"/>
    <hyperlink ref="G13" location="'Splitter 2'!B128" display="Branch 4" xr:uid="{3016F541-D7DF-43EF-A513-1186F2752497}"/>
    <hyperlink ref="C126" location="'Splitter 2'!G13" display="^ Back to Source ^" xr:uid="{F710FB13-50E1-4174-9C90-E37BA71A3179}"/>
  </hyperlinks>
  <pageMargins left="0.25" right="0.25" top="0.75" bottom="0.75" header="0.3" footer="0.3"/>
  <pageSetup scale="31" orientation="portrait" r:id="rId1"/>
  <headerFooter>
    <oddFooter>&amp;L&amp;1#&amp;"Calibri"&amp;8&amp;K000000Sensitivity: Internal</oddFooter>
  </headerFooter>
  <drawing r:id="rId2"/>
  <legacyDrawing r:id="rId3"/>
  <controls>
    <mc:AlternateContent xmlns:mc="http://schemas.openxmlformats.org/markup-compatibility/2006">
      <mc:Choice Requires="x14">
        <control shapeId="45057" r:id="rId4" name="CommandButton1">
          <controlPr locked="0" defaultSize="0" autoLine="0" r:id="rId5">
            <anchor moveWithCells="1">
              <from>
                <xdr:col>4</xdr:col>
                <xdr:colOff>295275</xdr:colOff>
                <xdr:row>4</xdr:row>
                <xdr:rowOff>28575</xdr:rowOff>
              </from>
              <to>
                <xdr:col>5</xdr:col>
                <xdr:colOff>552450</xdr:colOff>
                <xdr:row>5</xdr:row>
                <xdr:rowOff>180975</xdr:rowOff>
              </to>
            </anchor>
          </controlPr>
        </control>
      </mc:Choice>
      <mc:Fallback>
        <control shapeId="45057" r:id="rId4" name="CommandButton1"/>
      </mc:Fallback>
    </mc:AlternateContent>
    <mc:AlternateContent xmlns:mc="http://schemas.openxmlformats.org/markup-compatibility/2006">
      <mc:Choice Requires="x14">
        <control shapeId="45058" r:id="rId6" name="CommandButton3">
          <controlPr locked="0" defaultSize="0" autoLine="0" r:id="rId7">
            <anchor moveWithCells="1">
              <from>
                <xdr:col>3</xdr:col>
                <xdr:colOff>66675</xdr:colOff>
                <xdr:row>4</xdr:row>
                <xdr:rowOff>28575</xdr:rowOff>
              </from>
              <to>
                <xdr:col>4</xdr:col>
                <xdr:colOff>266700</xdr:colOff>
                <xdr:row>5</xdr:row>
                <xdr:rowOff>180975</xdr:rowOff>
              </to>
            </anchor>
          </controlPr>
        </control>
      </mc:Choice>
      <mc:Fallback>
        <control shapeId="45058" r:id="rId6" name="CommandButton3"/>
      </mc:Fallback>
    </mc:AlternateContent>
  </controls>
  <extLst>
    <ext xmlns:x14="http://schemas.microsoft.com/office/spreadsheetml/2009/9/main" uri="{78C0D931-6437-407d-A8EE-F0AAD7539E65}">
      <x14:conditionalFormattings>
        <x14:conditionalFormatting xmlns:xm="http://schemas.microsoft.com/office/excel/2006/main">
          <x14:cfRule type="cellIs" priority="29" operator="lessThan" id="{43C752C6-6BD0-46F8-85A8-56C5FA3B4867}">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H8:H39</xm:sqref>
        </x14:conditionalFormatting>
        <x14:conditionalFormatting xmlns:xm="http://schemas.microsoft.com/office/excel/2006/main">
          <x14:cfRule type="cellIs" priority="27" operator="notBetween" id="{A6E3154B-591F-4318-96C5-CEC47642B3A6}">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I8:I39</xm:sqref>
        </x14:conditionalFormatting>
        <x14:conditionalFormatting xmlns:xm="http://schemas.microsoft.com/office/excel/2006/main">
          <x14:cfRule type="cellIs" priority="24" operator="lessThan" id="{4F9F8B68-6183-4FE4-A1CD-044CC0482CB4}">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H43:H73</xm:sqref>
        </x14:conditionalFormatting>
        <x14:conditionalFormatting xmlns:xm="http://schemas.microsoft.com/office/excel/2006/main">
          <x14:cfRule type="cellIs" priority="22" operator="notBetween" id="{2B332ABA-860B-46BE-9C62-91FF159F730B}">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I43:I73</xm:sqref>
        </x14:conditionalFormatting>
        <x14:conditionalFormatting xmlns:xm="http://schemas.microsoft.com/office/excel/2006/main">
          <x14:cfRule type="cellIs" priority="16" operator="lessThan" id="{A55EDF76-6F34-42FB-ADB3-7E398D771451}">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H77:H105</xm:sqref>
        </x14:conditionalFormatting>
        <x14:conditionalFormatting xmlns:xm="http://schemas.microsoft.com/office/excel/2006/main">
          <x14:cfRule type="cellIs" priority="14" operator="notBetween" id="{ADC14CAE-060D-4F84-856B-38B9648D70EE}">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I77:I105</xm:sqref>
        </x14:conditionalFormatting>
        <x14:conditionalFormatting xmlns:xm="http://schemas.microsoft.com/office/excel/2006/main">
          <x14:cfRule type="cellIs" priority="12" operator="lessThan" id="{4B73A9E0-8EE5-4C31-9570-AF02F77CF01B}">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H109:H124</xm:sqref>
        </x14:conditionalFormatting>
        <x14:conditionalFormatting xmlns:xm="http://schemas.microsoft.com/office/excel/2006/main">
          <x14:cfRule type="cellIs" priority="10" operator="notBetween" id="{15418DC2-5CC3-4803-AF50-6F8AED7E7714}">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I109:I124</xm:sqref>
        </x14:conditionalFormatting>
        <x14:conditionalFormatting xmlns:xm="http://schemas.microsoft.com/office/excel/2006/main">
          <x14:cfRule type="cellIs" priority="4" operator="lessThan" id="{E978550C-F8E4-47F2-8B35-7FF4BE9CAC70}">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H128:H137</xm:sqref>
        </x14:conditionalFormatting>
        <x14:conditionalFormatting xmlns:xm="http://schemas.microsoft.com/office/excel/2006/main">
          <x14:cfRule type="cellIs" priority="2" operator="notBetween" id="{5B6C9C1D-81EB-44AA-A2E2-10FC98FAB700}">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I128:I137</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1E1C3859-B586-42C0-8E9A-7F128B6BB564}">
          <x14:formula1>
            <xm:f>Standards!$B$46:$B$52</xm:f>
          </x14:formula1>
          <xm:sqref>E9:E39 E44:E73 E78:E105 E110:E124 E129:E137</xm:sqref>
        </x14:dataValidation>
        <x14:dataValidation type="list" allowBlank="1" showInputMessage="1" showErrorMessage="1" xr:uid="{B7FEEA4A-4349-4E1D-BD63-26395099A4CE}">
          <x14:formula1>
            <xm:f>Standards!$B$46:$B$53</xm:f>
          </x14:formula1>
          <xm:sqref>E8 E43 E77 E109 E128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2B345-E354-4465-A080-61F11B9B8D78}">
  <sheetPr>
    <pageSetUpPr fitToPage="1"/>
  </sheetPr>
  <dimension ref="A1:G1"/>
  <sheetViews>
    <sheetView showGridLines="0" zoomScale="85" zoomScaleNormal="85" workbookViewId="0">
      <selection activeCell="L25" sqref="L25:M25"/>
    </sheetView>
  </sheetViews>
  <sheetFormatPr defaultRowHeight="15" customHeight="1" x14ac:dyDescent="0.25"/>
  <sheetData>
    <row r="1" spans="1:7" s="10" customFormat="1" ht="30" customHeight="1" x14ac:dyDescent="0.3">
      <c r="A1" s="10" t="s">
        <v>135</v>
      </c>
      <c r="B1" s="10" t="s">
        <v>167</v>
      </c>
      <c r="F1" s="10" t="s">
        <v>199</v>
      </c>
      <c r="G1" s="10">
        <v>84</v>
      </c>
    </row>
  </sheetData>
  <pageMargins left="0.25" right="0.25" top="0.75" bottom="0.75" header="0.3" footer="0.3"/>
  <pageSetup scale="41" orientation="portrait" r:id="rId1"/>
  <headerFooter>
    <oddFooter>&amp;L&amp;1#&amp;"Calibri"&amp;8&amp;K000000Sensitivity: Internal</oddFooter>
  </headerFooter>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AAC50-6A75-4354-84B8-E79370BAF930}">
  <sheetPr codeName="Sheet12">
    <pageSetUpPr fitToPage="1"/>
  </sheetPr>
  <dimension ref="A1:Z124"/>
  <sheetViews>
    <sheetView showGridLines="0" workbookViewId="0">
      <pane ySplit="7" topLeftCell="A97" activePane="bottomLeft" state="frozen"/>
      <selection activeCell="L25" sqref="L25:M25"/>
      <selection pane="bottomLeft" activeCell="L25" sqref="L25:M25"/>
    </sheetView>
  </sheetViews>
  <sheetFormatPr defaultRowHeight="15" x14ac:dyDescent="0.25"/>
  <cols>
    <col min="1" max="1" width="10.42578125" customWidth="1"/>
    <col min="2" max="2" width="10.85546875" style="22" customWidth="1"/>
    <col min="3" max="3" width="15.140625" style="22" customWidth="1"/>
    <col min="4" max="4" width="8.85546875" style="9" bestFit="1" customWidth="1"/>
    <col min="5" max="5" width="10.42578125" bestFit="1" customWidth="1"/>
    <col min="6" max="6" width="9.5703125" customWidth="1"/>
    <col min="7" max="7" width="11.28515625" bestFit="1" customWidth="1"/>
    <col min="8" max="8" width="13.28515625" customWidth="1"/>
    <col min="9" max="9" width="12.140625" customWidth="1"/>
    <col min="10" max="10" width="13.28515625" style="7" bestFit="1" customWidth="1"/>
    <col min="11" max="11" width="19.7109375" customWidth="1"/>
    <col min="12" max="12" width="16.28515625" customWidth="1"/>
    <col min="13" max="13" width="14.7109375" bestFit="1" customWidth="1"/>
    <col min="14" max="14" width="9.5703125" style="7" hidden="1" customWidth="1"/>
    <col min="15" max="15" width="9" style="8" hidden="1" customWidth="1"/>
    <col min="16" max="16" width="8.28515625" style="8" hidden="1" customWidth="1"/>
    <col min="17" max="18" width="16.5703125" style="8" hidden="1" customWidth="1"/>
    <col min="19" max="19" width="8.42578125" style="8" hidden="1" customWidth="1"/>
    <col min="20" max="26" width="9.140625" style="59"/>
  </cols>
  <sheetData>
    <row r="1" spans="1:26" ht="62.25" customHeight="1" x14ac:dyDescent="0.3">
      <c r="A1" s="75" t="s">
        <v>125</v>
      </c>
      <c r="B1" s="76"/>
      <c r="C1" s="77"/>
      <c r="D1" s="49"/>
      <c r="E1" s="24" t="s">
        <v>126</v>
      </c>
      <c r="F1" s="24" t="s">
        <v>127</v>
      </c>
      <c r="G1" s="24" t="s">
        <v>128</v>
      </c>
      <c r="H1" s="24" t="s">
        <v>129</v>
      </c>
      <c r="I1" s="24" t="s">
        <v>130</v>
      </c>
      <c r="J1" s="24" t="s">
        <v>131</v>
      </c>
      <c r="K1" s="24" t="s">
        <v>132</v>
      </c>
      <c r="L1" s="24" t="s">
        <v>133</v>
      </c>
      <c r="M1" s="24" t="s">
        <v>134</v>
      </c>
      <c r="O1" s="7"/>
      <c r="P1" s="7"/>
      <c r="Q1" s="7"/>
      <c r="R1" s="7"/>
    </row>
    <row r="2" spans="1:26" ht="18" customHeight="1" x14ac:dyDescent="0.25">
      <c r="A2" s="29" t="s">
        <v>135</v>
      </c>
      <c r="B2" s="78" t="s">
        <v>167</v>
      </c>
      <c r="C2" s="79"/>
      <c r="D2" s="80"/>
      <c r="E2" s="26" t="s">
        <v>57</v>
      </c>
      <c r="F2" s="28">
        <f>VLOOKUP(E2,Standards!B3:C7,2,FALSE)</f>
        <v>3.25</v>
      </c>
      <c r="G2" s="25">
        <v>1</v>
      </c>
      <c r="H2" s="42">
        <v>2</v>
      </c>
      <c r="I2" s="41">
        <v>200</v>
      </c>
      <c r="J2" s="32" t="s">
        <v>79</v>
      </c>
      <c r="K2" s="32">
        <v>2</v>
      </c>
      <c r="L2" s="38">
        <f>F2-(G2*Standards!D14)-(H2*Standards!D13)-(I2*Standards!D15)-VLOOKUP(J2,LS_Loss,2,FALSE)-(VLOOKUP(H5,Losses,3,FALSE)*I5)</f>
        <v>-9.9407263993367554</v>
      </c>
      <c r="M2" s="37" t="s">
        <v>136</v>
      </c>
      <c r="O2" s="7"/>
      <c r="P2" s="7"/>
      <c r="Q2" s="7"/>
      <c r="R2" s="7"/>
    </row>
    <row r="3" spans="1:26" s="4" customFormat="1" ht="15" customHeight="1" x14ac:dyDescent="0.25">
      <c r="A3" s="88" t="s">
        <v>137</v>
      </c>
      <c r="B3" s="81"/>
      <c r="C3" s="82"/>
      <c r="D3" s="82"/>
      <c r="E3" s="82"/>
      <c r="F3" s="82"/>
      <c r="G3" s="83"/>
      <c r="H3" s="88" t="s">
        <v>138</v>
      </c>
      <c r="I3" s="88" t="s">
        <v>166</v>
      </c>
      <c r="J3" s="44"/>
      <c r="K3" s="87" t="s">
        <v>140</v>
      </c>
      <c r="L3" s="87" t="s">
        <v>141</v>
      </c>
      <c r="M3" s="14" t="s">
        <v>142</v>
      </c>
      <c r="T3" s="60"/>
      <c r="U3" s="60"/>
      <c r="V3" s="60"/>
      <c r="W3" s="60"/>
      <c r="X3" s="60"/>
      <c r="Y3" s="60"/>
      <c r="Z3" s="60"/>
    </row>
    <row r="4" spans="1:26" s="4" customFormat="1" ht="15" customHeight="1" x14ac:dyDescent="0.25">
      <c r="A4" s="88"/>
      <c r="B4" s="84"/>
      <c r="C4" s="85"/>
      <c r="D4" s="85"/>
      <c r="E4" s="85"/>
      <c r="F4" s="85"/>
      <c r="G4" s="86"/>
      <c r="H4" s="88"/>
      <c r="I4" s="89"/>
      <c r="J4" s="45" t="s">
        <v>143</v>
      </c>
      <c r="K4" s="87"/>
      <c r="L4" s="87"/>
      <c r="M4" s="12" t="s">
        <v>144</v>
      </c>
      <c r="T4" s="60"/>
      <c r="U4" s="60"/>
      <c r="V4" s="60"/>
      <c r="W4" s="60"/>
      <c r="X4" s="60"/>
      <c r="Y4" s="60"/>
      <c r="Z4" s="60"/>
    </row>
    <row r="5" spans="1:26" x14ac:dyDescent="0.25">
      <c r="A5" s="5"/>
      <c r="B5" s="46" t="s">
        <v>145</v>
      </c>
      <c r="C5" s="47" t="s">
        <v>146</v>
      </c>
      <c r="D5"/>
      <c r="H5" s="48" t="s">
        <v>71</v>
      </c>
      <c r="I5" s="43">
        <v>0</v>
      </c>
      <c r="J5" s="43" t="s">
        <v>108</v>
      </c>
      <c r="K5" s="43">
        <v>1500</v>
      </c>
      <c r="L5" s="43">
        <v>2</v>
      </c>
      <c r="M5" s="24" t="s">
        <v>147</v>
      </c>
      <c r="N5" s="4"/>
      <c r="O5" s="4"/>
      <c r="P5" s="4"/>
      <c r="Q5" s="7"/>
      <c r="R5" s="7"/>
    </row>
    <row r="6" spans="1:26" x14ac:dyDescent="0.25">
      <c r="A6" s="29" t="s">
        <v>148</v>
      </c>
      <c r="B6" s="30">
        <f>SUM(B8:B125)</f>
        <v>17083</v>
      </c>
      <c r="C6" s="31">
        <f>SUM(F8:F125)</f>
        <v>72</v>
      </c>
      <c r="D6"/>
      <c r="E6" s="7"/>
      <c r="I6" s="7"/>
      <c r="J6"/>
      <c r="M6" s="27">
        <v>1</v>
      </c>
      <c r="N6" s="4"/>
      <c r="O6" s="4"/>
      <c r="P6" s="4"/>
      <c r="Q6" s="8" t="s">
        <v>149</v>
      </c>
      <c r="R6" s="8" t="s">
        <v>150</v>
      </c>
    </row>
    <row r="7" spans="1:26" s="7" customFormat="1" ht="40.5" customHeight="1" x14ac:dyDescent="0.25">
      <c r="A7" s="20" t="s">
        <v>151</v>
      </c>
      <c r="B7" s="21" t="s">
        <v>152</v>
      </c>
      <c r="C7" s="21" t="s">
        <v>153</v>
      </c>
      <c r="D7" s="19" t="s">
        <v>154</v>
      </c>
      <c r="E7" s="19" t="s">
        <v>155</v>
      </c>
      <c r="F7" s="19" t="s">
        <v>156</v>
      </c>
      <c r="G7" s="19" t="s">
        <v>157</v>
      </c>
      <c r="H7" s="19" t="s">
        <v>158</v>
      </c>
      <c r="I7" s="19" t="s">
        <v>159</v>
      </c>
      <c r="J7" s="19" t="s">
        <v>87</v>
      </c>
      <c r="K7" s="20" t="s">
        <v>160</v>
      </c>
      <c r="L7" s="19" t="s">
        <v>161</v>
      </c>
      <c r="M7" s="20" t="s">
        <v>162</v>
      </c>
      <c r="N7" s="8" t="s">
        <v>163</v>
      </c>
      <c r="O7" s="8" t="s">
        <v>164</v>
      </c>
      <c r="P7" s="8" t="s">
        <v>165</v>
      </c>
      <c r="Q7" s="7">
        <v>0</v>
      </c>
      <c r="R7" s="7">
        <v>0</v>
      </c>
      <c r="S7" s="36"/>
      <c r="T7" s="61"/>
      <c r="U7" s="61"/>
      <c r="V7" s="61"/>
      <c r="W7" s="61"/>
      <c r="X7" s="61"/>
      <c r="Y7" s="61"/>
      <c r="Z7" s="61"/>
    </row>
    <row r="8" spans="1:26" x14ac:dyDescent="0.25">
      <c r="A8" s="35">
        <v>1</v>
      </c>
      <c r="B8" s="34">
        <v>120</v>
      </c>
      <c r="C8" s="50" t="s">
        <v>168</v>
      </c>
      <c r="D8" s="51" t="s">
        <v>169</v>
      </c>
      <c r="E8" s="18" t="s">
        <v>91</v>
      </c>
      <c r="F8" s="13">
        <v>0</v>
      </c>
      <c r="G8" s="40"/>
      <c r="H8" s="6">
        <f>IF(F8="","",N8-VLOOKUP(F8,Parts!A:F,6,FALSE))</f>
        <v>-9.9881622389388092</v>
      </c>
      <c r="I8" s="6" t="str">
        <f>IF(F8="","",IF(F8=0,"",H8-(Standards!D$14*L$5)-(Standards!D$15*K$5)))</f>
        <v/>
      </c>
      <c r="J8" s="12" t="str">
        <f>IF(F8="","",VLOOKUP(F8,Parts!A:J,10,FALSE))</f>
        <v>N/A</v>
      </c>
      <c r="K8" s="12" t="str">
        <f>IF(F8="","",VLOOKUP(F8,Parts!A:N,14,FALSE))</f>
        <v>N/A</v>
      </c>
      <c r="L8" s="33"/>
      <c r="M8" s="33"/>
      <c r="N8" s="8">
        <f t="shared" ref="N8:N39" si="0">IF(F8="","",L$2-Q8-R8)</f>
        <v>-9.9881622389388092</v>
      </c>
      <c r="O8" s="8">
        <f t="shared" ref="O8:O39" si="1">VLOOKUP(H$5,Losses,3,FALSE)</f>
        <v>3.5000000000000003E-2</v>
      </c>
      <c r="P8" s="8">
        <f>IF(F8="","",N8-O8)</f>
        <v>-10.023162238938809</v>
      </c>
      <c r="Q8" s="8">
        <f>(B8*Standards!D$15)+Q7</f>
        <v>1.243583960205312E-2</v>
      </c>
      <c r="R8" s="8">
        <f t="shared" ref="R8:R39" si="2">IF(F8&lt;&gt;"",VLOOKUP(H$5,Losses,3,FALSE)+R7,R7)</f>
        <v>3.5000000000000003E-2</v>
      </c>
    </row>
    <row r="9" spans="1:26" x14ac:dyDescent="0.25">
      <c r="A9" s="35">
        <v>2</v>
      </c>
      <c r="B9" s="34">
        <v>706</v>
      </c>
      <c r="C9" s="50" t="s">
        <v>168</v>
      </c>
      <c r="D9" s="51" t="s">
        <v>173</v>
      </c>
      <c r="E9" s="16" t="s">
        <v>91</v>
      </c>
      <c r="F9" s="13">
        <v>0</v>
      </c>
      <c r="G9" s="55"/>
      <c r="H9" s="6">
        <f>IF(F9="","",N9-VLOOKUP(F9,Parts!A:F,6,FALSE))</f>
        <v>-10.096326428597555</v>
      </c>
      <c r="I9" s="6" t="str">
        <f>IF(F9="","",IF(F9=0,"",H9-(Standards!D$14*L$5)-(Standards!D$15*K$5)))</f>
        <v/>
      </c>
      <c r="J9" s="12" t="str">
        <f>IF(F9="","",VLOOKUP(F9,Parts!A:J,10,FALSE))</f>
        <v>N/A</v>
      </c>
      <c r="K9" s="12" t="str">
        <f>IF(F9="","",VLOOKUP(F9,Parts!A:N,14,FALSE))</f>
        <v>N/A</v>
      </c>
      <c r="L9" s="33"/>
      <c r="M9" s="33"/>
      <c r="N9" s="8">
        <f t="shared" si="0"/>
        <v>-10.096326428597555</v>
      </c>
      <c r="O9" s="8">
        <f t="shared" si="1"/>
        <v>3.5000000000000003E-2</v>
      </c>
      <c r="P9" s="8">
        <f t="shared" ref="P9:P39" si="3">IF(F9="","",N9-O9)</f>
        <v>-10.131326428597555</v>
      </c>
      <c r="Q9" s="8">
        <f>(B9*Standards!D$15)+Q8</f>
        <v>8.5600029260798974E-2</v>
      </c>
      <c r="R9" s="8">
        <f t="shared" si="2"/>
        <v>7.0000000000000007E-2</v>
      </c>
    </row>
    <row r="10" spans="1:26" x14ac:dyDescent="0.25">
      <c r="A10" s="35">
        <v>3</v>
      </c>
      <c r="B10" s="34">
        <v>1703</v>
      </c>
      <c r="C10" s="50" t="s">
        <v>168</v>
      </c>
      <c r="D10" s="51" t="s">
        <v>206</v>
      </c>
      <c r="E10" s="17" t="s">
        <v>91</v>
      </c>
      <c r="F10" s="13">
        <v>0</v>
      </c>
      <c r="G10" s="55" t="s">
        <v>189</v>
      </c>
      <c r="H10" s="6">
        <f>IF(F10="","",N10-VLOOKUP(F10,Parts!A:F,6,FALSE))</f>
        <v>-10.307811718950026</v>
      </c>
      <c r="I10" s="6" t="str">
        <f>IF(F10="","",IF(F10=0,"",H10-(Standards!D$14*L$5)-(Standards!D$15*K$5)))</f>
        <v/>
      </c>
      <c r="J10" s="12" t="str">
        <f>IF(F10="","",VLOOKUP(F10,Parts!A:J,10,FALSE))</f>
        <v>N/A</v>
      </c>
      <c r="K10" s="12" t="str">
        <f>IF(F10="","",VLOOKUP(F10,Parts!A:N,14,FALSE))</f>
        <v>N/A</v>
      </c>
      <c r="L10" s="33"/>
      <c r="M10" s="33"/>
      <c r="N10" s="8">
        <f t="shared" si="0"/>
        <v>-10.307811718950026</v>
      </c>
      <c r="O10" s="8">
        <f t="shared" si="1"/>
        <v>3.5000000000000003E-2</v>
      </c>
      <c r="P10" s="8">
        <f t="shared" si="3"/>
        <v>-10.342811718950026</v>
      </c>
      <c r="Q10" s="8">
        <f>(B10*Standards!D$15)+Q9</f>
        <v>0.26208531961326947</v>
      </c>
      <c r="R10" s="8">
        <f t="shared" si="2"/>
        <v>0.10500000000000001</v>
      </c>
      <c r="S10" s="8" t="s">
        <v>189</v>
      </c>
    </row>
    <row r="11" spans="1:26" x14ac:dyDescent="0.25">
      <c r="A11" s="35">
        <v>4</v>
      </c>
      <c r="B11" s="34">
        <f>1536+1185+100</f>
        <v>2821</v>
      </c>
      <c r="C11" s="50" t="s">
        <v>168</v>
      </c>
      <c r="D11" s="90" t="s">
        <v>225</v>
      </c>
      <c r="E11" s="16" t="s">
        <v>91</v>
      </c>
      <c r="F11" s="13">
        <v>8</v>
      </c>
      <c r="G11" s="56"/>
      <c r="H11" s="6">
        <f>IF(F11="","",N11-VLOOKUP(F11,Parts!A:F,6,FALSE))</f>
        <v>-21.275157581594957</v>
      </c>
      <c r="I11" s="6">
        <f>IF(F11="","",IF(F11=0,"",H11-(Standards!D$14*L$5)-(Standards!D$15*K$5)))</f>
        <v>-21.630605576620621</v>
      </c>
      <c r="J11" s="12" t="str">
        <f>IF(F11="","",VLOOKUP(F11,Parts!A:J,10,FALSE))</f>
        <v>USBM1X8</v>
      </c>
      <c r="K11" s="12" t="str">
        <f>IF(F11="","",VLOOKUP(F11,Parts!A:N,14,FALSE))</f>
        <v>PLO-U-108-SCA-SCA</v>
      </c>
      <c r="L11" s="33" t="s">
        <v>314</v>
      </c>
      <c r="M11" s="33" t="s">
        <v>315</v>
      </c>
      <c r="N11" s="8">
        <f t="shared" si="0"/>
        <v>-10.635157581594957</v>
      </c>
      <c r="O11" s="8">
        <f t="shared" si="1"/>
        <v>3.5000000000000003E-2</v>
      </c>
      <c r="P11" s="8">
        <f t="shared" si="3"/>
        <v>-10.670157581594957</v>
      </c>
      <c r="Q11" s="8">
        <f>(B11*Standards!D$15)+Q10</f>
        <v>0.55443118225820154</v>
      </c>
      <c r="R11" s="8">
        <f t="shared" si="2"/>
        <v>0.14000000000000001</v>
      </c>
    </row>
    <row r="12" spans="1:26" x14ac:dyDescent="0.25">
      <c r="A12" s="35">
        <v>5</v>
      </c>
      <c r="B12" s="34">
        <f>662+100</f>
        <v>762</v>
      </c>
      <c r="C12" s="50" t="s">
        <v>168</v>
      </c>
      <c r="D12" s="90" t="s">
        <v>226</v>
      </c>
      <c r="E12" s="16" t="s">
        <v>91</v>
      </c>
      <c r="F12" s="13">
        <v>4</v>
      </c>
      <c r="G12" s="55"/>
      <c r="H12" s="6">
        <f>IF(F12="","",N12-VLOOKUP(F12,Parts!A:F,6,FALSE))</f>
        <v>-17.989125163067996</v>
      </c>
      <c r="I12" s="6">
        <f>IF(F12="","",IF(F12=0,"",H12-(Standards!D$14*L$5)-(Standards!D$15*K$5)))</f>
        <v>-18.34457315809366</v>
      </c>
      <c r="J12" s="12" t="str">
        <f>IF(F12="","",VLOOKUP(F12,Parts!A:J,10,FALSE))</f>
        <v>USBM1X4</v>
      </c>
      <c r="K12" s="12" t="str">
        <f>IF(F12="","",VLOOKUP(F12,Parts!A:N,14,FALSE))</f>
        <v>PLO-U-104-SCA-SCA</v>
      </c>
      <c r="L12" s="33" t="s">
        <v>304</v>
      </c>
      <c r="M12" s="33" t="s">
        <v>305</v>
      </c>
      <c r="N12" s="8">
        <f t="shared" si="0"/>
        <v>-10.749125163067994</v>
      </c>
      <c r="O12" s="8">
        <f t="shared" si="1"/>
        <v>3.5000000000000003E-2</v>
      </c>
      <c r="P12" s="8">
        <f t="shared" si="3"/>
        <v>-10.784125163067994</v>
      </c>
      <c r="Q12" s="8">
        <f>(B12*Standards!D$15)+Q11</f>
        <v>0.63339876373123882</v>
      </c>
      <c r="R12" s="8">
        <f t="shared" si="2"/>
        <v>0.17500000000000002</v>
      </c>
    </row>
    <row r="13" spans="1:26" x14ac:dyDescent="0.25">
      <c r="A13" s="35">
        <v>6</v>
      </c>
      <c r="B13" s="34">
        <f>553+100</f>
        <v>653</v>
      </c>
      <c r="C13" s="50" t="s">
        <v>168</v>
      </c>
      <c r="D13" s="90" t="s">
        <v>227</v>
      </c>
      <c r="E13" s="16" t="s">
        <v>91</v>
      </c>
      <c r="F13" s="13">
        <v>4</v>
      </c>
      <c r="G13" s="55" t="s">
        <v>212</v>
      </c>
      <c r="H13" s="6">
        <f>IF(F13="","",N13-VLOOKUP(F13,Parts!A:F,6,FALSE))</f>
        <v>-18.091796856902501</v>
      </c>
      <c r="I13" s="6">
        <f>IF(F13="","",IF(F13=0,"",H13-(Standards!D$14*L$5)-(Standards!D$15*K$5)))</f>
        <v>-18.447244851928165</v>
      </c>
      <c r="J13" s="12" t="str">
        <f>IF(F13="","",VLOOKUP(F13,Parts!A:J,10,FALSE))</f>
        <v>USBM1X4</v>
      </c>
      <c r="K13" s="12" t="str">
        <f>IF(F13="","",VLOOKUP(F13,Parts!A:N,14,FALSE))</f>
        <v>PLO-U-104-SCA-SCA</v>
      </c>
      <c r="L13" s="33" t="s">
        <v>306</v>
      </c>
      <c r="M13" s="33" t="s">
        <v>307</v>
      </c>
      <c r="N13" s="8">
        <f t="shared" si="0"/>
        <v>-10.851796856902501</v>
      </c>
      <c r="O13" s="8">
        <f t="shared" si="1"/>
        <v>3.5000000000000003E-2</v>
      </c>
      <c r="P13" s="8">
        <f t="shared" si="3"/>
        <v>-10.886796856902501</v>
      </c>
      <c r="Q13" s="8">
        <f>(B13*Standards!D$15)+Q12</f>
        <v>0.70107045756574449</v>
      </c>
      <c r="R13" s="8">
        <f t="shared" si="2"/>
        <v>0.21000000000000002</v>
      </c>
      <c r="S13" s="8" t="s">
        <v>212</v>
      </c>
    </row>
    <row r="14" spans="1:26" x14ac:dyDescent="0.25">
      <c r="A14" s="35">
        <v>7</v>
      </c>
      <c r="B14" s="34">
        <f>539+100</f>
        <v>639</v>
      </c>
      <c r="C14" s="50" t="s">
        <v>168</v>
      </c>
      <c r="D14" s="90" t="s">
        <v>231</v>
      </c>
      <c r="E14" s="16" t="s">
        <v>91</v>
      </c>
      <c r="F14" s="13">
        <v>4</v>
      </c>
      <c r="G14" s="56"/>
      <c r="H14" s="6">
        <f>IF(F14="","",N14-VLOOKUP(F14,Parts!A:F,6,FALSE))</f>
        <v>-18.193017702783433</v>
      </c>
      <c r="I14" s="6">
        <f>IF(F14="","",IF(F14=0,"",H14-(Standards!D$14*L$5)-(Standards!D$15*K$5)))</f>
        <v>-18.548465697809096</v>
      </c>
      <c r="J14" s="12" t="str">
        <f>IF(F14="","",VLOOKUP(F14,Parts!A:J,10,FALSE))</f>
        <v>USBM1X4</v>
      </c>
      <c r="K14" s="12" t="str">
        <f>IF(F14="","",VLOOKUP(F14,Parts!A:N,14,FALSE))</f>
        <v>PLO-U-104-SCA-SCA</v>
      </c>
      <c r="L14" s="33" t="s">
        <v>308</v>
      </c>
      <c r="M14" s="33" t="s">
        <v>309</v>
      </c>
      <c r="N14" s="8">
        <f t="shared" si="0"/>
        <v>-10.953017702783432</v>
      </c>
      <c r="O14" s="8">
        <f t="shared" si="1"/>
        <v>3.5000000000000003E-2</v>
      </c>
      <c r="P14" s="8">
        <f t="shared" si="3"/>
        <v>-10.988017702783432</v>
      </c>
      <c r="Q14" s="8">
        <f>(B14*Standards!D$15)+Q13</f>
        <v>0.76729130344667729</v>
      </c>
      <c r="R14" s="8">
        <f t="shared" si="2"/>
        <v>0.24500000000000002</v>
      </c>
    </row>
    <row r="15" spans="1:26" x14ac:dyDescent="0.25">
      <c r="A15" s="35">
        <v>8</v>
      </c>
      <c r="B15" s="34">
        <f>881+100</f>
        <v>981</v>
      </c>
      <c r="C15" s="50" t="s">
        <v>168</v>
      </c>
      <c r="D15" s="90" t="s">
        <v>232</v>
      </c>
      <c r="E15" s="16" t="s">
        <v>91</v>
      </c>
      <c r="F15" s="13">
        <v>4</v>
      </c>
      <c r="G15" s="40"/>
      <c r="H15" s="6">
        <f>IF(F15="","",N15-VLOOKUP(F15,Parts!A:F,6,FALSE))</f>
        <v>-18.329680691530214</v>
      </c>
      <c r="I15" s="6">
        <f>IF(F15="","",IF(F15=0,"",H15-(Standards!D$14*L$5)-(Standards!D$15*K$5)))</f>
        <v>-18.685128686555878</v>
      </c>
      <c r="J15" s="12" t="str">
        <f>IF(F15="","",VLOOKUP(F15,Parts!A:J,10,FALSE))</f>
        <v>USBM1X4</v>
      </c>
      <c r="K15" s="12" t="str">
        <f>IF(F15="","",VLOOKUP(F15,Parts!A:N,14,FALSE))</f>
        <v>PLO-U-104-SCA-SCA</v>
      </c>
      <c r="L15" s="33" t="s">
        <v>310</v>
      </c>
      <c r="M15" s="33" t="s">
        <v>311</v>
      </c>
      <c r="N15" s="8">
        <f t="shared" si="0"/>
        <v>-11.089680691530216</v>
      </c>
      <c r="O15" s="8">
        <f t="shared" si="1"/>
        <v>3.5000000000000003E-2</v>
      </c>
      <c r="P15" s="8">
        <f t="shared" si="3"/>
        <v>-11.124680691530216</v>
      </c>
      <c r="Q15" s="8">
        <f>(B15*Standards!D$15)+Q14</f>
        <v>0.86895429219346154</v>
      </c>
      <c r="R15" s="8">
        <f t="shared" si="2"/>
        <v>0.28000000000000003</v>
      </c>
    </row>
    <row r="16" spans="1:26" x14ac:dyDescent="0.25">
      <c r="A16" s="35">
        <v>9</v>
      </c>
      <c r="B16" s="34">
        <f>955+100</f>
        <v>1055</v>
      </c>
      <c r="C16" s="50" t="s">
        <v>168</v>
      </c>
      <c r="D16" s="92" t="s">
        <v>233</v>
      </c>
      <c r="E16" s="17" t="s">
        <v>91</v>
      </c>
      <c r="F16" s="13">
        <v>4</v>
      </c>
      <c r="G16" s="40"/>
      <c r="H16" s="6">
        <f>IF(F16="","",N16-VLOOKUP(F16,Parts!A:F,6,FALSE))</f>
        <v>-18.474012448031601</v>
      </c>
      <c r="I16" s="6">
        <f>IF(F16="","",IF(F16=0,"",H16-(Standards!D$14*L$5)-(Standards!D$15*K$5)))</f>
        <v>-18.829460443057265</v>
      </c>
      <c r="J16" s="12" t="str">
        <f>IF(F16="","",VLOOKUP(F16,Parts!A:J,10,FALSE))</f>
        <v>USBM1X4</v>
      </c>
      <c r="K16" s="12" t="str">
        <f>IF(F16="","",VLOOKUP(F16,Parts!A:N,14,FALSE))</f>
        <v>PLO-U-104-SCA-SCA</v>
      </c>
      <c r="L16" s="33" t="s">
        <v>312</v>
      </c>
      <c r="M16" s="33" t="s">
        <v>313</v>
      </c>
      <c r="N16" s="8">
        <f t="shared" si="0"/>
        <v>-11.234012448031601</v>
      </c>
      <c r="O16" s="8">
        <f t="shared" si="1"/>
        <v>3.5000000000000003E-2</v>
      </c>
      <c r="P16" s="8">
        <f t="shared" si="3"/>
        <v>-11.269012448031601</v>
      </c>
      <c r="Q16" s="8">
        <f>(B16*Standards!D$15)+Q15</f>
        <v>0.97828604869484526</v>
      </c>
      <c r="R16" s="8">
        <f t="shared" si="2"/>
        <v>0.31500000000000006</v>
      </c>
    </row>
    <row r="17" spans="1:26" s="8" customFormat="1" x14ac:dyDescent="0.25">
      <c r="A17" s="35">
        <v>10</v>
      </c>
      <c r="B17" s="34"/>
      <c r="C17" s="50"/>
      <c r="D17" s="52"/>
      <c r="E17" s="17"/>
      <c r="F17" s="13"/>
      <c r="G17" s="40"/>
      <c r="H17" s="6" t="str">
        <f>IF(F17="","",N17-VLOOKUP(F17,Parts!A:F,6,FALSE))</f>
        <v/>
      </c>
      <c r="I17" s="6" t="str">
        <f>IF(F17="","",IF(F17=0,"",H17-(Standards!D$14*L$5)-(Standards!D$15*K$5)))</f>
        <v/>
      </c>
      <c r="J17" s="12" t="str">
        <f>IF(F17="","",VLOOKUP(F17,Parts!A:J,10,FALSE))</f>
        <v/>
      </c>
      <c r="K17" s="12" t="str">
        <f>IF(F17="","",VLOOKUP(F17,Parts!A:N,14,FALSE))</f>
        <v/>
      </c>
      <c r="L17" s="33"/>
      <c r="M17" s="33"/>
      <c r="N17" s="8" t="str">
        <f t="shared" si="0"/>
        <v/>
      </c>
      <c r="O17" s="8">
        <f t="shared" si="1"/>
        <v>3.5000000000000003E-2</v>
      </c>
      <c r="P17" s="8" t="str">
        <f t="shared" si="3"/>
        <v/>
      </c>
      <c r="Q17" s="8">
        <f>(B17*Standards!D$15)+Q16</f>
        <v>0.97828604869484526</v>
      </c>
      <c r="R17" s="8">
        <f t="shared" si="2"/>
        <v>0.31500000000000006</v>
      </c>
      <c r="T17" s="59"/>
      <c r="U17" s="59"/>
      <c r="V17" s="59"/>
      <c r="W17" s="59"/>
      <c r="X17" s="59"/>
      <c r="Y17" s="59"/>
      <c r="Z17" s="59"/>
    </row>
    <row r="18" spans="1:26" s="8" customFormat="1" x14ac:dyDescent="0.25">
      <c r="A18" s="35">
        <v>11</v>
      </c>
      <c r="B18" s="34"/>
      <c r="C18" s="50"/>
      <c r="D18" s="51"/>
      <c r="E18" s="18"/>
      <c r="F18" s="13"/>
      <c r="G18" s="40"/>
      <c r="H18" s="6" t="str">
        <f>IF(F18="","",N18-VLOOKUP(F18,Parts!A:F,6,FALSE))</f>
        <v/>
      </c>
      <c r="I18" s="6" t="str">
        <f>IF(F18="","",IF(F18=0,"",H18-(Standards!D$14*L$5)-(Standards!D$15*K$5)))</f>
        <v/>
      </c>
      <c r="J18" s="12" t="str">
        <f>IF(F18="","",VLOOKUP(F18,Parts!A:J,10,FALSE))</f>
        <v/>
      </c>
      <c r="K18" s="12" t="str">
        <f>IF(F18="","",VLOOKUP(F18,Parts!A:N,14,FALSE))</f>
        <v/>
      </c>
      <c r="L18" s="33"/>
      <c r="M18" s="33"/>
      <c r="N18" s="8" t="str">
        <f t="shared" si="0"/>
        <v/>
      </c>
      <c r="O18" s="8">
        <f t="shared" si="1"/>
        <v>3.5000000000000003E-2</v>
      </c>
      <c r="P18" s="8" t="str">
        <f t="shared" si="3"/>
        <v/>
      </c>
      <c r="Q18" s="8">
        <f>(B18*Standards!D$15)+Q17</f>
        <v>0.97828604869484526</v>
      </c>
      <c r="R18" s="8">
        <f t="shared" si="2"/>
        <v>0.31500000000000006</v>
      </c>
      <c r="T18" s="59"/>
      <c r="U18" s="59"/>
      <c r="V18" s="59"/>
      <c r="W18" s="59"/>
      <c r="X18" s="59"/>
      <c r="Y18" s="59"/>
      <c r="Z18" s="59"/>
    </row>
    <row r="19" spans="1:26" s="8" customFormat="1" x14ac:dyDescent="0.25">
      <c r="A19" s="35">
        <v>12</v>
      </c>
      <c r="B19" s="34"/>
      <c r="C19" s="50"/>
      <c r="D19" s="52"/>
      <c r="E19" s="17"/>
      <c r="F19" s="13"/>
      <c r="G19" s="40"/>
      <c r="H19" s="6" t="str">
        <f>IF(F19="","",N19-VLOOKUP(F19,Parts!A:F,6,FALSE))</f>
        <v/>
      </c>
      <c r="I19" s="6" t="str">
        <f>IF(F19="","",IF(F19=0,"",H19-(Standards!D$14*L$5)-(Standards!D$15*K$5)))</f>
        <v/>
      </c>
      <c r="J19" s="12" t="str">
        <f>IF(F19="","",VLOOKUP(F19,Parts!A:J,10,FALSE))</f>
        <v/>
      </c>
      <c r="K19" s="12" t="str">
        <f>IF(F19="","",VLOOKUP(F19,Parts!A:N,14,FALSE))</f>
        <v/>
      </c>
      <c r="L19" s="33"/>
      <c r="M19" s="33"/>
      <c r="N19" s="8" t="str">
        <f t="shared" si="0"/>
        <v/>
      </c>
      <c r="O19" s="8">
        <f t="shared" si="1"/>
        <v>3.5000000000000003E-2</v>
      </c>
      <c r="P19" s="8" t="str">
        <f t="shared" si="3"/>
        <v/>
      </c>
      <c r="Q19" s="8">
        <f>(B19*Standards!D$15)+Q18</f>
        <v>0.97828604869484526</v>
      </c>
      <c r="R19" s="8">
        <f t="shared" si="2"/>
        <v>0.31500000000000006</v>
      </c>
      <c r="T19" s="59"/>
      <c r="U19" s="59"/>
      <c r="V19" s="59"/>
      <c r="W19" s="59"/>
      <c r="X19" s="59"/>
      <c r="Y19" s="59"/>
      <c r="Z19" s="59"/>
    </row>
    <row r="20" spans="1:26" s="8" customFormat="1" x14ac:dyDescent="0.25">
      <c r="A20" s="35">
        <v>13</v>
      </c>
      <c r="B20" s="34"/>
      <c r="C20" s="50"/>
      <c r="D20" s="53"/>
      <c r="E20" s="16"/>
      <c r="F20" s="13"/>
      <c r="G20" s="40"/>
      <c r="H20" s="6" t="str">
        <f>IF(F20="","",N20-VLOOKUP(F20,Parts!A:F,6,FALSE))</f>
        <v/>
      </c>
      <c r="I20" s="6" t="str">
        <f>IF(F20="","",IF(F20=0,"",H20-(Standards!D$14*L$5)-(Standards!D$15*K$5)))</f>
        <v/>
      </c>
      <c r="J20" s="12" t="str">
        <f>IF(F20="","",VLOOKUP(F20,Parts!A:J,10,FALSE))</f>
        <v/>
      </c>
      <c r="K20" s="12" t="str">
        <f>IF(F20="","",VLOOKUP(F20,Parts!A:N,14,FALSE))</f>
        <v/>
      </c>
      <c r="L20" s="33"/>
      <c r="M20" s="33"/>
      <c r="N20" s="8" t="str">
        <f t="shared" si="0"/>
        <v/>
      </c>
      <c r="O20" s="8">
        <f t="shared" si="1"/>
        <v>3.5000000000000003E-2</v>
      </c>
      <c r="P20" s="8" t="str">
        <f t="shared" si="3"/>
        <v/>
      </c>
      <c r="Q20" s="8">
        <f>(B20*Standards!D$15)+Q19</f>
        <v>0.97828604869484526</v>
      </c>
      <c r="R20" s="8">
        <f t="shared" si="2"/>
        <v>0.31500000000000006</v>
      </c>
      <c r="T20" s="59"/>
      <c r="U20" s="59"/>
      <c r="V20" s="59"/>
      <c r="W20" s="59"/>
      <c r="X20" s="59"/>
      <c r="Y20" s="59"/>
      <c r="Z20" s="59"/>
    </row>
    <row r="21" spans="1:26" s="8" customFormat="1" x14ac:dyDescent="0.25">
      <c r="A21" s="35">
        <v>14</v>
      </c>
      <c r="B21" s="34"/>
      <c r="C21" s="50"/>
      <c r="D21" s="53"/>
      <c r="E21" s="16"/>
      <c r="F21" s="13"/>
      <c r="G21" s="40"/>
      <c r="H21" s="6" t="str">
        <f>IF(F21="","",N21-VLOOKUP(F21,Parts!A:F,6,FALSE))</f>
        <v/>
      </c>
      <c r="I21" s="6" t="str">
        <f>IF(F21="","",IF(F21=0,"",H21-(Standards!D$14*L$5)-(Standards!D$15*K$5)))</f>
        <v/>
      </c>
      <c r="J21" s="12" t="str">
        <f>IF(F21="","",VLOOKUP(F21,Parts!A:J,10,FALSE))</f>
        <v/>
      </c>
      <c r="K21" s="12" t="str">
        <f>IF(F21="","",VLOOKUP(F21,Parts!A:N,14,FALSE))</f>
        <v/>
      </c>
      <c r="L21" s="33"/>
      <c r="M21" s="33"/>
      <c r="N21" s="8" t="str">
        <f t="shared" si="0"/>
        <v/>
      </c>
      <c r="O21" s="8">
        <f t="shared" si="1"/>
        <v>3.5000000000000003E-2</v>
      </c>
      <c r="P21" s="8" t="str">
        <f t="shared" si="3"/>
        <v/>
      </c>
      <c r="Q21" s="8">
        <f>(B21*Standards!D$15)+Q20</f>
        <v>0.97828604869484526</v>
      </c>
      <c r="R21" s="8">
        <f t="shared" si="2"/>
        <v>0.31500000000000006</v>
      </c>
      <c r="T21" s="59"/>
      <c r="U21" s="59"/>
      <c r="V21" s="59"/>
      <c r="W21" s="59"/>
      <c r="X21" s="59"/>
      <c r="Y21" s="59"/>
      <c r="Z21" s="59"/>
    </row>
    <row r="22" spans="1:26" s="8" customFormat="1" x14ac:dyDescent="0.25">
      <c r="A22" s="35">
        <v>15</v>
      </c>
      <c r="B22" s="34"/>
      <c r="C22" s="50"/>
      <c r="D22" s="53"/>
      <c r="E22" s="16"/>
      <c r="F22" s="13"/>
      <c r="G22" s="40"/>
      <c r="H22" s="6" t="str">
        <f>IF(F22="","",N22-VLOOKUP(F22,Parts!A:F,6,FALSE))</f>
        <v/>
      </c>
      <c r="I22" s="6" t="str">
        <f>IF(F22="","",IF(F22=0,"",H22-(Standards!D$14*L$5)-(Standards!D$15*K$5)))</f>
        <v/>
      </c>
      <c r="J22" s="12" t="str">
        <f>IF(F22="","",VLOOKUP(F22,Parts!A:J,10,FALSE))</f>
        <v/>
      </c>
      <c r="K22" s="12" t="str">
        <f>IF(F22="","",VLOOKUP(F22,Parts!A:N,14,FALSE))</f>
        <v/>
      </c>
      <c r="L22" s="33"/>
      <c r="M22" s="33"/>
      <c r="N22" s="8" t="str">
        <f t="shared" si="0"/>
        <v/>
      </c>
      <c r="O22" s="8">
        <f t="shared" si="1"/>
        <v>3.5000000000000003E-2</v>
      </c>
      <c r="P22" s="8" t="str">
        <f t="shared" si="3"/>
        <v/>
      </c>
      <c r="Q22" s="8">
        <f>(B22*Standards!D$15)+Q21</f>
        <v>0.97828604869484526</v>
      </c>
      <c r="R22" s="8">
        <f t="shared" si="2"/>
        <v>0.31500000000000006</v>
      </c>
      <c r="T22" s="59"/>
      <c r="U22" s="59"/>
      <c r="V22" s="59"/>
      <c r="W22" s="59"/>
      <c r="X22" s="59"/>
      <c r="Y22" s="59"/>
      <c r="Z22" s="59"/>
    </row>
    <row r="23" spans="1:26" s="8" customFormat="1" x14ac:dyDescent="0.25">
      <c r="A23" s="35">
        <v>16</v>
      </c>
      <c r="B23" s="34"/>
      <c r="C23" s="50"/>
      <c r="D23" s="53"/>
      <c r="E23" s="16"/>
      <c r="F23" s="13"/>
      <c r="G23" s="40"/>
      <c r="H23" s="6" t="str">
        <f>IF(F23="","",N23-VLOOKUP(F23,Parts!A:F,6,FALSE))</f>
        <v/>
      </c>
      <c r="I23" s="6" t="str">
        <f>IF(F23="","",IF(F23=0,"",H23-(Standards!D$14*L$5)-(Standards!D$15*K$5)))</f>
        <v/>
      </c>
      <c r="J23" s="12" t="str">
        <f>IF(F23="","",VLOOKUP(F23,Parts!A:J,10,FALSE))</f>
        <v/>
      </c>
      <c r="K23" s="12" t="str">
        <f>IF(F23="","",VLOOKUP(F23,Parts!A:N,14,FALSE))</f>
        <v/>
      </c>
      <c r="L23" s="33"/>
      <c r="M23" s="33"/>
      <c r="N23" s="8" t="str">
        <f t="shared" si="0"/>
        <v/>
      </c>
      <c r="O23" s="8">
        <f t="shared" si="1"/>
        <v>3.5000000000000003E-2</v>
      </c>
      <c r="P23" s="8" t="str">
        <f t="shared" si="3"/>
        <v/>
      </c>
      <c r="Q23" s="8">
        <f>(B23*Standards!D$15)+Q22</f>
        <v>0.97828604869484526</v>
      </c>
      <c r="R23" s="8">
        <f t="shared" si="2"/>
        <v>0.31500000000000006</v>
      </c>
      <c r="T23" s="59"/>
      <c r="U23" s="59"/>
      <c r="V23" s="59"/>
      <c r="W23" s="59"/>
      <c r="X23" s="59"/>
      <c r="Y23" s="59"/>
      <c r="Z23" s="59"/>
    </row>
    <row r="24" spans="1:26" s="8" customFormat="1" x14ac:dyDescent="0.25">
      <c r="A24" s="35">
        <v>17</v>
      </c>
      <c r="B24" s="34"/>
      <c r="C24" s="50"/>
      <c r="D24" s="53"/>
      <c r="E24" s="16"/>
      <c r="F24" s="13"/>
      <c r="G24" s="40"/>
      <c r="H24" s="6" t="str">
        <f>IF(F24="","",N24-VLOOKUP(F24,Parts!A:F,6,FALSE))</f>
        <v/>
      </c>
      <c r="I24" s="6" t="str">
        <f>IF(F24="","",IF(F24=0,"",H24-(Standards!D$14*L$5)-(Standards!D$15*K$5)))</f>
        <v/>
      </c>
      <c r="J24" s="12" t="str">
        <f>IF(F24="","",VLOOKUP(F24,Parts!A:J,10,FALSE))</f>
        <v/>
      </c>
      <c r="K24" s="12" t="str">
        <f>IF(F24="","",VLOOKUP(F24,Parts!A:N,14,FALSE))</f>
        <v/>
      </c>
      <c r="L24" s="33"/>
      <c r="M24" s="33"/>
      <c r="N24" s="8" t="str">
        <f t="shared" si="0"/>
        <v/>
      </c>
      <c r="O24" s="8">
        <f t="shared" si="1"/>
        <v>3.5000000000000003E-2</v>
      </c>
      <c r="P24" s="8" t="str">
        <f t="shared" si="3"/>
        <v/>
      </c>
      <c r="Q24" s="8">
        <f>(B24*Standards!D$15)+Q23</f>
        <v>0.97828604869484526</v>
      </c>
      <c r="R24" s="8">
        <f t="shared" si="2"/>
        <v>0.31500000000000006</v>
      </c>
      <c r="T24" s="59"/>
      <c r="U24" s="59"/>
      <c r="V24" s="59"/>
      <c r="W24" s="59"/>
      <c r="X24" s="59"/>
      <c r="Y24" s="59"/>
      <c r="Z24" s="59"/>
    </row>
    <row r="25" spans="1:26" s="8" customFormat="1" x14ac:dyDescent="0.25">
      <c r="A25" s="35">
        <v>18</v>
      </c>
      <c r="B25" s="34"/>
      <c r="C25" s="50"/>
      <c r="D25" s="53"/>
      <c r="E25" s="16"/>
      <c r="F25" s="13"/>
      <c r="G25" s="40"/>
      <c r="H25" s="6" t="str">
        <f>IF(F25="","",N25-VLOOKUP(F25,Parts!A:F,6,FALSE))</f>
        <v/>
      </c>
      <c r="I25" s="6" t="str">
        <f>IF(F25="","",IF(F25=0,"",H25-(Standards!D$14*L$5)-(Standards!D$15*K$5)))</f>
        <v/>
      </c>
      <c r="J25" s="12" t="str">
        <f>IF(F25="","",VLOOKUP(F25,Parts!A:J,10,FALSE))</f>
        <v/>
      </c>
      <c r="K25" s="12" t="str">
        <f>IF(F25="","",VLOOKUP(F25,Parts!A:N,14,FALSE))</f>
        <v/>
      </c>
      <c r="L25" s="33"/>
      <c r="M25" s="33"/>
      <c r="N25" s="8" t="str">
        <f t="shared" si="0"/>
        <v/>
      </c>
      <c r="O25" s="8">
        <f t="shared" si="1"/>
        <v>3.5000000000000003E-2</v>
      </c>
      <c r="P25" s="8" t="str">
        <f t="shared" si="3"/>
        <v/>
      </c>
      <c r="Q25" s="8">
        <f>(B25*Standards!D$15)+Q24</f>
        <v>0.97828604869484526</v>
      </c>
      <c r="R25" s="8">
        <f t="shared" si="2"/>
        <v>0.31500000000000006</v>
      </c>
      <c r="T25" s="59"/>
      <c r="U25" s="59"/>
      <c r="V25" s="59"/>
      <c r="W25" s="59"/>
      <c r="X25" s="59"/>
      <c r="Y25" s="59"/>
      <c r="Z25" s="59"/>
    </row>
    <row r="26" spans="1:26" s="8" customFormat="1" x14ac:dyDescent="0.25">
      <c r="A26" s="35">
        <v>19</v>
      </c>
      <c r="B26" s="34"/>
      <c r="C26" s="50"/>
      <c r="D26" s="53"/>
      <c r="E26" s="16"/>
      <c r="F26" s="13"/>
      <c r="G26" s="40"/>
      <c r="H26" s="6" t="str">
        <f>IF(F26="","",N26-VLOOKUP(F26,Parts!A:F,6,FALSE))</f>
        <v/>
      </c>
      <c r="I26" s="6" t="str">
        <f>IF(F26="","",IF(F26=0,"",H26-(Standards!D$14*L$5)-(Standards!D$15*K$5)))</f>
        <v/>
      </c>
      <c r="J26" s="12" t="str">
        <f>IF(F26="","",VLOOKUP(F26,Parts!A:J,10,FALSE))</f>
        <v/>
      </c>
      <c r="K26" s="12" t="str">
        <f>IF(F26="","",VLOOKUP(F26,Parts!A:N,14,FALSE))</f>
        <v/>
      </c>
      <c r="L26" s="33"/>
      <c r="M26" s="33"/>
      <c r="N26" s="8" t="str">
        <f t="shared" si="0"/>
        <v/>
      </c>
      <c r="O26" s="8">
        <f t="shared" si="1"/>
        <v>3.5000000000000003E-2</v>
      </c>
      <c r="P26" s="8" t="str">
        <f t="shared" si="3"/>
        <v/>
      </c>
      <c r="Q26" s="8">
        <f>(B26*Standards!D$15)+Q25</f>
        <v>0.97828604869484526</v>
      </c>
      <c r="R26" s="8">
        <f t="shared" si="2"/>
        <v>0.31500000000000006</v>
      </c>
      <c r="T26" s="59"/>
      <c r="U26" s="59"/>
      <c r="V26" s="59"/>
      <c r="W26" s="59"/>
      <c r="X26" s="59"/>
      <c r="Y26" s="59"/>
      <c r="Z26" s="59"/>
    </row>
    <row r="27" spans="1:26" s="8" customFormat="1" x14ac:dyDescent="0.25">
      <c r="A27" s="35">
        <v>20</v>
      </c>
      <c r="B27" s="34"/>
      <c r="C27" s="50"/>
      <c r="D27" s="53"/>
      <c r="E27" s="16"/>
      <c r="F27" s="13"/>
      <c r="G27" s="40"/>
      <c r="H27" s="6" t="str">
        <f>IF(F27="","",N27-VLOOKUP(F27,Parts!A:F,6,FALSE))</f>
        <v/>
      </c>
      <c r="I27" s="6" t="str">
        <f>IF(F27="","",IF(F27=0,"",H27-(Standards!D$14*L$5)-(Standards!D$15*K$5)))</f>
        <v/>
      </c>
      <c r="J27" s="12" t="str">
        <f>IF(F27="","",VLOOKUP(F27,Parts!A:J,10,FALSE))</f>
        <v/>
      </c>
      <c r="K27" s="12" t="str">
        <f>IF(F27="","",VLOOKUP(F27,Parts!A:N,14,FALSE))</f>
        <v/>
      </c>
      <c r="L27" s="33"/>
      <c r="M27" s="33"/>
      <c r="N27" s="8" t="str">
        <f t="shared" si="0"/>
        <v/>
      </c>
      <c r="O27" s="8">
        <f t="shared" si="1"/>
        <v>3.5000000000000003E-2</v>
      </c>
      <c r="P27" s="8" t="str">
        <f t="shared" si="3"/>
        <v/>
      </c>
      <c r="Q27" s="8">
        <f>(B27*Standards!D$15)+Q26</f>
        <v>0.97828604869484526</v>
      </c>
      <c r="R27" s="8">
        <f t="shared" si="2"/>
        <v>0.31500000000000006</v>
      </c>
      <c r="T27" s="59"/>
      <c r="U27" s="59"/>
      <c r="V27" s="59"/>
      <c r="W27" s="59"/>
      <c r="X27" s="59"/>
      <c r="Y27" s="59"/>
      <c r="Z27" s="59"/>
    </row>
    <row r="28" spans="1:26" s="8" customFormat="1" x14ac:dyDescent="0.25">
      <c r="A28" s="35">
        <v>21</v>
      </c>
      <c r="B28" s="34"/>
      <c r="C28" s="50"/>
      <c r="D28" s="53"/>
      <c r="E28" s="16"/>
      <c r="F28" s="13"/>
      <c r="G28" s="40"/>
      <c r="H28" s="6" t="str">
        <f>IF(F28="","",N28-VLOOKUP(F28,Parts!A:F,6,FALSE))</f>
        <v/>
      </c>
      <c r="I28" s="6" t="str">
        <f>IF(F28="","",IF(F28=0,"",H28-(Standards!D$14*L$5)-(Standards!D$15*K$5)))</f>
        <v/>
      </c>
      <c r="J28" s="12" t="str">
        <f>IF(F28="","",VLOOKUP(F28,Parts!A:J,10,FALSE))</f>
        <v/>
      </c>
      <c r="K28" s="12" t="str">
        <f>IF(F28="","",VLOOKUP(F28,Parts!A:N,14,FALSE))</f>
        <v/>
      </c>
      <c r="L28" s="33"/>
      <c r="M28" s="33"/>
      <c r="N28" s="8" t="str">
        <f t="shared" si="0"/>
        <v/>
      </c>
      <c r="O28" s="8">
        <f t="shared" si="1"/>
        <v>3.5000000000000003E-2</v>
      </c>
      <c r="P28" s="8" t="str">
        <f t="shared" si="3"/>
        <v/>
      </c>
      <c r="Q28" s="8">
        <f>(B28*Standards!D$15)+Q27</f>
        <v>0.97828604869484526</v>
      </c>
      <c r="R28" s="8">
        <f t="shared" si="2"/>
        <v>0.31500000000000006</v>
      </c>
      <c r="T28" s="59"/>
      <c r="U28" s="59"/>
      <c r="V28" s="59"/>
      <c r="W28" s="59"/>
      <c r="X28" s="59"/>
      <c r="Y28" s="59"/>
      <c r="Z28" s="59"/>
    </row>
    <row r="29" spans="1:26" s="8" customFormat="1" x14ac:dyDescent="0.25">
      <c r="A29" s="35">
        <v>22</v>
      </c>
      <c r="B29" s="34"/>
      <c r="C29" s="50"/>
      <c r="D29" s="53"/>
      <c r="E29" s="16"/>
      <c r="F29" s="13"/>
      <c r="G29" s="40"/>
      <c r="H29" s="6" t="str">
        <f>IF(F29="","",N29-VLOOKUP(F29,Parts!A:F,6,FALSE))</f>
        <v/>
      </c>
      <c r="I29" s="6" t="str">
        <f>IF(F29="","",IF(F29=0,"",H29-(Standards!D$14*L$5)-(Standards!D$15*K$5)))</f>
        <v/>
      </c>
      <c r="J29" s="12" t="str">
        <f>IF(F29="","",VLOOKUP(F29,Parts!A:J,10,FALSE))</f>
        <v/>
      </c>
      <c r="K29" s="12" t="str">
        <f>IF(F29="","",VLOOKUP(F29,Parts!A:N,14,FALSE))</f>
        <v/>
      </c>
      <c r="L29" s="33"/>
      <c r="M29" s="33"/>
      <c r="N29" s="8" t="str">
        <f t="shared" si="0"/>
        <v/>
      </c>
      <c r="O29" s="8">
        <f t="shared" si="1"/>
        <v>3.5000000000000003E-2</v>
      </c>
      <c r="P29" s="8" t="str">
        <f t="shared" si="3"/>
        <v/>
      </c>
      <c r="Q29" s="8">
        <f>(B29*Standards!D$15)+Q28</f>
        <v>0.97828604869484526</v>
      </c>
      <c r="R29" s="8">
        <f t="shared" si="2"/>
        <v>0.31500000000000006</v>
      </c>
      <c r="T29" s="59"/>
      <c r="U29" s="59"/>
      <c r="V29" s="59"/>
      <c r="W29" s="59"/>
      <c r="X29" s="59"/>
      <c r="Y29" s="59"/>
      <c r="Z29" s="59"/>
    </row>
    <row r="30" spans="1:26" s="8" customFormat="1" x14ac:dyDescent="0.25">
      <c r="A30" s="35">
        <v>23</v>
      </c>
      <c r="B30" s="34"/>
      <c r="C30" s="50"/>
      <c r="D30" s="53"/>
      <c r="E30" s="16"/>
      <c r="F30" s="13"/>
      <c r="G30" s="40"/>
      <c r="H30" s="6" t="str">
        <f>IF(F30="","",N30-VLOOKUP(F30,Parts!A:F,6,FALSE))</f>
        <v/>
      </c>
      <c r="I30" s="6" t="str">
        <f>IF(F30="","",IF(F30=0,"",H30-(Standards!D$14*L$5)-(Standards!D$15*K$5)))</f>
        <v/>
      </c>
      <c r="J30" s="12" t="str">
        <f>IF(F30="","",VLOOKUP(F30,Parts!A:J,10,FALSE))</f>
        <v/>
      </c>
      <c r="K30" s="12" t="str">
        <f>IF(F30="","",VLOOKUP(F30,Parts!A:N,14,FALSE))</f>
        <v/>
      </c>
      <c r="L30" s="33"/>
      <c r="M30" s="33"/>
      <c r="N30" s="8" t="str">
        <f t="shared" si="0"/>
        <v/>
      </c>
      <c r="O30" s="8">
        <f t="shared" si="1"/>
        <v>3.5000000000000003E-2</v>
      </c>
      <c r="P30" s="8" t="str">
        <f t="shared" si="3"/>
        <v/>
      </c>
      <c r="Q30" s="8">
        <f>(B30*Standards!D$15)+Q29</f>
        <v>0.97828604869484526</v>
      </c>
      <c r="R30" s="8">
        <f t="shared" si="2"/>
        <v>0.31500000000000006</v>
      </c>
      <c r="T30" s="59"/>
      <c r="U30" s="59"/>
      <c r="V30" s="59"/>
      <c r="W30" s="59"/>
      <c r="X30" s="59"/>
      <c r="Y30" s="59"/>
      <c r="Z30" s="59"/>
    </row>
    <row r="31" spans="1:26" s="8" customFormat="1" x14ac:dyDescent="0.25">
      <c r="A31" s="35">
        <v>24</v>
      </c>
      <c r="B31" s="34"/>
      <c r="C31" s="50"/>
      <c r="D31" s="53"/>
      <c r="E31" s="16"/>
      <c r="F31" s="13"/>
      <c r="G31" s="40"/>
      <c r="H31" s="6" t="str">
        <f>IF(F31="","",N31-VLOOKUP(F31,Parts!A:F,6,FALSE))</f>
        <v/>
      </c>
      <c r="I31" s="6" t="str">
        <f>IF(F31="","",IF(F31=0,"",H31-(Standards!D$14*L$5)-(Standards!D$15*K$5)))</f>
        <v/>
      </c>
      <c r="J31" s="12" t="str">
        <f>IF(F31="","",VLOOKUP(F31,Parts!A:J,10,FALSE))</f>
        <v/>
      </c>
      <c r="K31" s="12" t="str">
        <f>IF(F31="","",VLOOKUP(F31,Parts!A:N,14,FALSE))</f>
        <v/>
      </c>
      <c r="L31" s="33"/>
      <c r="M31" s="33"/>
      <c r="N31" s="8" t="str">
        <f t="shared" si="0"/>
        <v/>
      </c>
      <c r="O31" s="8">
        <f t="shared" si="1"/>
        <v>3.5000000000000003E-2</v>
      </c>
      <c r="P31" s="8" t="str">
        <f t="shared" si="3"/>
        <v/>
      </c>
      <c r="Q31" s="8">
        <f>(B31*Standards!D$15)+Q30</f>
        <v>0.97828604869484526</v>
      </c>
      <c r="R31" s="8">
        <f t="shared" si="2"/>
        <v>0.31500000000000006</v>
      </c>
      <c r="T31" s="59"/>
      <c r="U31" s="59"/>
      <c r="V31" s="59"/>
      <c r="W31" s="59"/>
      <c r="X31" s="59"/>
      <c r="Y31" s="59"/>
      <c r="Z31" s="59"/>
    </row>
    <row r="32" spans="1:26" s="8" customFormat="1" x14ac:dyDescent="0.25">
      <c r="A32" s="35">
        <v>25</v>
      </c>
      <c r="B32" s="34"/>
      <c r="C32" s="50"/>
      <c r="D32" s="53"/>
      <c r="E32" s="16"/>
      <c r="F32" s="13"/>
      <c r="G32" s="40"/>
      <c r="H32" s="6" t="str">
        <f>IF(F32="","",N32-VLOOKUP(F32,Parts!A:F,6,FALSE))</f>
        <v/>
      </c>
      <c r="I32" s="6" t="str">
        <f>IF(F32="","",IF(F32=0,"",H32-(Standards!D$14*L$5)-(Standards!D$15*K$5)))</f>
        <v/>
      </c>
      <c r="J32" s="12" t="str">
        <f>IF(F32="","",VLOOKUP(F32,Parts!A:J,10,FALSE))</f>
        <v/>
      </c>
      <c r="K32" s="12" t="str">
        <f>IF(F32="","",VLOOKUP(F32,Parts!A:N,14,FALSE))</f>
        <v/>
      </c>
      <c r="L32" s="33"/>
      <c r="M32" s="33"/>
      <c r="N32" s="8" t="str">
        <f t="shared" si="0"/>
        <v/>
      </c>
      <c r="O32" s="8">
        <f t="shared" si="1"/>
        <v>3.5000000000000003E-2</v>
      </c>
      <c r="P32" s="8" t="str">
        <f t="shared" si="3"/>
        <v/>
      </c>
      <c r="Q32" s="8">
        <f>(B32*Standards!D$15)+Q31</f>
        <v>0.97828604869484526</v>
      </c>
      <c r="R32" s="8">
        <f t="shared" si="2"/>
        <v>0.31500000000000006</v>
      </c>
      <c r="T32" s="59"/>
      <c r="U32" s="59"/>
      <c r="V32" s="59"/>
      <c r="W32" s="59"/>
      <c r="X32" s="59"/>
      <c r="Y32" s="59"/>
      <c r="Z32" s="59"/>
    </row>
    <row r="33" spans="1:26" s="8" customFormat="1" x14ac:dyDescent="0.25">
      <c r="A33" s="35">
        <v>26</v>
      </c>
      <c r="B33" s="34"/>
      <c r="C33" s="50"/>
      <c r="D33" s="53"/>
      <c r="E33" s="16"/>
      <c r="F33" s="13"/>
      <c r="G33" s="40"/>
      <c r="H33" s="6" t="str">
        <f>IF(F33="","",N33-VLOOKUP(F33,Parts!A:F,6,FALSE))</f>
        <v/>
      </c>
      <c r="I33" s="6" t="str">
        <f>IF(F33="","",IF(F33=0,"",H33-(Standards!D$14*L$5)-(Standards!D$15*K$5)))</f>
        <v/>
      </c>
      <c r="J33" s="12" t="str">
        <f>IF(F33="","",VLOOKUP(F33,Parts!A:J,10,FALSE))</f>
        <v/>
      </c>
      <c r="K33" s="12" t="str">
        <f>IF(F33="","",VLOOKUP(F33,Parts!A:N,14,FALSE))</f>
        <v/>
      </c>
      <c r="L33" s="33"/>
      <c r="M33" s="33"/>
      <c r="N33" s="8" t="str">
        <f t="shared" si="0"/>
        <v/>
      </c>
      <c r="O33" s="8">
        <f t="shared" si="1"/>
        <v>3.5000000000000003E-2</v>
      </c>
      <c r="P33" s="8" t="str">
        <f t="shared" si="3"/>
        <v/>
      </c>
      <c r="Q33" s="8">
        <f>(B33*Standards!D$15)+Q32</f>
        <v>0.97828604869484526</v>
      </c>
      <c r="R33" s="8">
        <f t="shared" si="2"/>
        <v>0.31500000000000006</v>
      </c>
      <c r="T33" s="59"/>
      <c r="U33" s="59"/>
      <c r="V33" s="59"/>
      <c r="W33" s="59"/>
      <c r="X33" s="59"/>
      <c r="Y33" s="59"/>
      <c r="Z33" s="59"/>
    </row>
    <row r="34" spans="1:26" s="8" customFormat="1" x14ac:dyDescent="0.25">
      <c r="A34" s="35">
        <v>27</v>
      </c>
      <c r="B34" s="34"/>
      <c r="C34" s="50"/>
      <c r="D34" s="53"/>
      <c r="E34" s="16"/>
      <c r="F34" s="13"/>
      <c r="G34" s="40"/>
      <c r="H34" s="6" t="str">
        <f>IF(F34="","",N34-VLOOKUP(F34,Parts!A:F,6,FALSE))</f>
        <v/>
      </c>
      <c r="I34" s="6" t="str">
        <f>IF(F34="","",IF(F34=0,"",H34-(Standards!D$14*L$5)-(Standards!D$15*K$5)))</f>
        <v/>
      </c>
      <c r="J34" s="12" t="str">
        <f>IF(F34="","",VLOOKUP(F34,Parts!A:J,10,FALSE))</f>
        <v/>
      </c>
      <c r="K34" s="12" t="str">
        <f>IF(F34="","",VLOOKUP(F34,Parts!A:N,14,FALSE))</f>
        <v/>
      </c>
      <c r="L34" s="33"/>
      <c r="M34" s="33"/>
      <c r="N34" s="8" t="str">
        <f t="shared" si="0"/>
        <v/>
      </c>
      <c r="O34" s="8">
        <f t="shared" si="1"/>
        <v>3.5000000000000003E-2</v>
      </c>
      <c r="P34" s="8" t="str">
        <f t="shared" si="3"/>
        <v/>
      </c>
      <c r="Q34" s="8">
        <f>(B34*Standards!D$15)+Q33</f>
        <v>0.97828604869484526</v>
      </c>
      <c r="R34" s="8">
        <f t="shared" si="2"/>
        <v>0.31500000000000006</v>
      </c>
      <c r="T34" s="59"/>
      <c r="U34" s="59"/>
      <c r="V34" s="59"/>
      <c r="W34" s="59"/>
      <c r="X34" s="59"/>
      <c r="Y34" s="59"/>
      <c r="Z34" s="59"/>
    </row>
    <row r="35" spans="1:26" s="8" customFormat="1" x14ac:dyDescent="0.25">
      <c r="A35" s="35">
        <v>28</v>
      </c>
      <c r="B35" s="34"/>
      <c r="C35" s="50"/>
      <c r="D35" s="53"/>
      <c r="E35" s="16"/>
      <c r="F35" s="13"/>
      <c r="G35" s="40"/>
      <c r="H35" s="6" t="str">
        <f>IF(F35="","",N35-VLOOKUP(F35,Parts!A:F,6,FALSE))</f>
        <v/>
      </c>
      <c r="I35" s="6" t="str">
        <f>IF(F35="","",IF(F35=0,"",H35-(Standards!D$14*L$5)-(Standards!D$15*K$5)))</f>
        <v/>
      </c>
      <c r="J35" s="12" t="str">
        <f>IF(F35="","",VLOOKUP(F35,Parts!A:J,10,FALSE))</f>
        <v/>
      </c>
      <c r="K35" s="12" t="str">
        <f>IF(F35="","",VLOOKUP(F35,Parts!A:N,14,FALSE))</f>
        <v/>
      </c>
      <c r="L35" s="33"/>
      <c r="M35" s="33"/>
      <c r="N35" s="8" t="str">
        <f t="shared" si="0"/>
        <v/>
      </c>
      <c r="O35" s="8">
        <f t="shared" si="1"/>
        <v>3.5000000000000003E-2</v>
      </c>
      <c r="P35" s="8" t="str">
        <f t="shared" si="3"/>
        <v/>
      </c>
      <c r="Q35" s="8">
        <f>(B35*Standards!D$15)+Q34</f>
        <v>0.97828604869484526</v>
      </c>
      <c r="R35" s="8">
        <f t="shared" si="2"/>
        <v>0.31500000000000006</v>
      </c>
      <c r="T35" s="59"/>
      <c r="U35" s="59"/>
      <c r="V35" s="59"/>
      <c r="W35" s="59"/>
      <c r="X35" s="59"/>
      <c r="Y35" s="59"/>
      <c r="Z35" s="59"/>
    </row>
    <row r="36" spans="1:26" s="8" customFormat="1" x14ac:dyDescent="0.25">
      <c r="A36" s="35">
        <v>29</v>
      </c>
      <c r="B36" s="34"/>
      <c r="C36" s="50"/>
      <c r="D36" s="53"/>
      <c r="E36" s="16"/>
      <c r="F36" s="13"/>
      <c r="G36" s="40"/>
      <c r="H36" s="6" t="str">
        <f>IF(F36="","",N36-VLOOKUP(F36,Parts!A:F,6,FALSE))</f>
        <v/>
      </c>
      <c r="I36" s="6" t="str">
        <f>IF(F36="","",IF(F36=0,"",H36-(Standards!D$14*L$5)-(Standards!D$15*K$5)))</f>
        <v/>
      </c>
      <c r="J36" s="12" t="str">
        <f>IF(F36="","",VLOOKUP(F36,Parts!A:J,10,FALSE))</f>
        <v/>
      </c>
      <c r="K36" s="12" t="str">
        <f>IF(F36="","",VLOOKUP(F36,Parts!A:N,14,FALSE))</f>
        <v/>
      </c>
      <c r="L36" s="33"/>
      <c r="M36" s="33"/>
      <c r="N36" s="8" t="str">
        <f t="shared" si="0"/>
        <v/>
      </c>
      <c r="O36" s="8">
        <f t="shared" si="1"/>
        <v>3.5000000000000003E-2</v>
      </c>
      <c r="P36" s="8" t="str">
        <f t="shared" si="3"/>
        <v/>
      </c>
      <c r="Q36" s="8">
        <f>(B36*Standards!D$15)+Q35</f>
        <v>0.97828604869484526</v>
      </c>
      <c r="R36" s="8">
        <f t="shared" si="2"/>
        <v>0.31500000000000006</v>
      </c>
      <c r="T36" s="59"/>
      <c r="U36" s="59"/>
      <c r="V36" s="59"/>
      <c r="W36" s="59"/>
      <c r="X36" s="59"/>
      <c r="Y36" s="59"/>
      <c r="Z36" s="59"/>
    </row>
    <row r="37" spans="1:26" s="8" customFormat="1" x14ac:dyDescent="0.25">
      <c r="A37" s="35">
        <v>30</v>
      </c>
      <c r="B37" s="34"/>
      <c r="C37" s="50"/>
      <c r="D37" s="53"/>
      <c r="E37" s="16"/>
      <c r="F37" s="13"/>
      <c r="G37" s="40"/>
      <c r="H37" s="6" t="str">
        <f>IF(F37="","",N37-VLOOKUP(F37,Parts!A:F,6,FALSE))</f>
        <v/>
      </c>
      <c r="I37" s="6" t="str">
        <f>IF(F37="","",IF(F37=0,"",H37-(Standards!D$14*L$5)-(Standards!D$15*K$5)))</f>
        <v/>
      </c>
      <c r="J37" s="12" t="str">
        <f>IF(F37="","",VLOOKUP(F37,Parts!A:J,10,FALSE))</f>
        <v/>
      </c>
      <c r="K37" s="12" t="str">
        <f>IF(F37="","",VLOOKUP(F37,Parts!A:N,14,FALSE))</f>
        <v/>
      </c>
      <c r="L37" s="33"/>
      <c r="M37" s="33"/>
      <c r="N37" s="8" t="str">
        <f t="shared" si="0"/>
        <v/>
      </c>
      <c r="O37" s="8">
        <f t="shared" si="1"/>
        <v>3.5000000000000003E-2</v>
      </c>
      <c r="P37" s="8" t="str">
        <f t="shared" si="3"/>
        <v/>
      </c>
      <c r="Q37" s="8">
        <f>(B37*Standards!D$15)+Q36</f>
        <v>0.97828604869484526</v>
      </c>
      <c r="R37" s="8">
        <f t="shared" si="2"/>
        <v>0.31500000000000006</v>
      </c>
      <c r="T37" s="59"/>
      <c r="U37" s="59"/>
      <c r="V37" s="59"/>
      <c r="W37" s="59"/>
      <c r="X37" s="59"/>
      <c r="Y37" s="59"/>
      <c r="Z37" s="59"/>
    </row>
    <row r="38" spans="1:26" s="8" customFormat="1" x14ac:dyDescent="0.25">
      <c r="A38" s="35">
        <v>31</v>
      </c>
      <c r="B38" s="34"/>
      <c r="C38" s="50"/>
      <c r="D38" s="53"/>
      <c r="E38" s="16"/>
      <c r="F38" s="13"/>
      <c r="G38" s="40"/>
      <c r="H38" s="6" t="str">
        <f>IF(F38="","",N38-VLOOKUP(F38,Parts!A:F,6,FALSE))</f>
        <v/>
      </c>
      <c r="I38" s="6" t="str">
        <f>IF(F38="","",IF(F38=0,"",H38-(Standards!D$14*L$5)-(Standards!D$15*K$5)))</f>
        <v/>
      </c>
      <c r="J38" s="12" t="str">
        <f>IF(F38="","",VLOOKUP(F38,Parts!A:J,10,FALSE))</f>
        <v/>
      </c>
      <c r="K38" s="12" t="str">
        <f>IF(F38="","",VLOOKUP(F38,Parts!A:N,14,FALSE))</f>
        <v/>
      </c>
      <c r="L38" s="33"/>
      <c r="M38" s="33"/>
      <c r="N38" s="8" t="str">
        <f t="shared" si="0"/>
        <v/>
      </c>
      <c r="O38" s="8">
        <f t="shared" si="1"/>
        <v>3.5000000000000003E-2</v>
      </c>
      <c r="P38" s="8" t="str">
        <f t="shared" si="3"/>
        <v/>
      </c>
      <c r="Q38" s="8">
        <f>(B38*Standards!D$15)+Q37</f>
        <v>0.97828604869484526</v>
      </c>
      <c r="R38" s="8">
        <f t="shared" si="2"/>
        <v>0.31500000000000006</v>
      </c>
      <c r="T38" s="59"/>
      <c r="U38" s="59"/>
      <c r="V38" s="59"/>
      <c r="W38" s="59"/>
      <c r="X38" s="59"/>
      <c r="Y38" s="59"/>
      <c r="Z38" s="59"/>
    </row>
    <row r="39" spans="1:26" s="8" customFormat="1" x14ac:dyDescent="0.25">
      <c r="A39" s="35">
        <v>32</v>
      </c>
      <c r="B39" s="34"/>
      <c r="C39" s="50"/>
      <c r="D39" s="53"/>
      <c r="E39" s="16"/>
      <c r="F39" s="13"/>
      <c r="G39" s="40"/>
      <c r="H39" s="6" t="str">
        <f>IF(F39="","",N39-VLOOKUP(F39,Parts!A:F,6,FALSE))</f>
        <v/>
      </c>
      <c r="I39" s="6" t="str">
        <f>IF(F39="","",IF(F39=0,"",H39-(Standards!D$14*L$5)-(Standards!D$15*K$5)))</f>
        <v/>
      </c>
      <c r="J39" s="12" t="str">
        <f>IF(F39="","",VLOOKUP(F39,Parts!A:J,10,FALSE))</f>
        <v/>
      </c>
      <c r="K39" s="12" t="str">
        <f>IF(F39="","",VLOOKUP(F39,Parts!A:N,14,FALSE))</f>
        <v/>
      </c>
      <c r="L39" s="33"/>
      <c r="M39" s="33"/>
      <c r="N39" s="8" t="str">
        <f t="shared" si="0"/>
        <v/>
      </c>
      <c r="O39" s="8">
        <f t="shared" si="1"/>
        <v>3.5000000000000003E-2</v>
      </c>
      <c r="P39" s="8" t="str">
        <f t="shared" si="3"/>
        <v/>
      </c>
      <c r="Q39" s="8">
        <f>(B39*Standards!D$15)+Q38</f>
        <v>0.97828604869484526</v>
      </c>
      <c r="R39" s="8">
        <f t="shared" si="2"/>
        <v>0.31500000000000006</v>
      </c>
      <c r="T39" s="59"/>
      <c r="U39" s="59"/>
      <c r="V39" s="59"/>
      <c r="W39" s="59"/>
      <c r="X39" s="59"/>
      <c r="Y39" s="59"/>
      <c r="Z39" s="59"/>
    </row>
    <row r="41" spans="1:26" ht="18.75" x14ac:dyDescent="0.3">
      <c r="A41" s="94" t="s">
        <v>189</v>
      </c>
      <c r="C41" s="96" t="s">
        <v>191</v>
      </c>
      <c r="K41" s="93" t="s">
        <v>190</v>
      </c>
      <c r="L41" s="95">
        <f>P10</f>
        <v>-10.342811718950026</v>
      </c>
    </row>
    <row r="42" spans="1:26" s="7" customFormat="1" ht="40.5" customHeight="1" x14ac:dyDescent="0.25">
      <c r="A42" s="20" t="s">
        <v>151</v>
      </c>
      <c r="B42" s="21" t="s">
        <v>152</v>
      </c>
      <c r="C42" s="21" t="s">
        <v>153</v>
      </c>
      <c r="D42" s="19" t="s">
        <v>154</v>
      </c>
      <c r="E42" s="19" t="s">
        <v>155</v>
      </c>
      <c r="F42" s="19" t="s">
        <v>156</v>
      </c>
      <c r="G42" s="19" t="s">
        <v>157</v>
      </c>
      <c r="H42" s="19" t="s">
        <v>158</v>
      </c>
      <c r="I42" s="19" t="s">
        <v>159</v>
      </c>
      <c r="J42" s="19" t="s">
        <v>87</v>
      </c>
      <c r="K42" s="20" t="s">
        <v>160</v>
      </c>
      <c r="L42" s="19" t="s">
        <v>161</v>
      </c>
      <c r="M42" s="20" t="s">
        <v>162</v>
      </c>
      <c r="N42" s="8" t="s">
        <v>163</v>
      </c>
      <c r="O42" s="8" t="s">
        <v>164</v>
      </c>
      <c r="P42" s="8" t="s">
        <v>165</v>
      </c>
      <c r="Q42" s="8">
        <f>Q10</f>
        <v>0.26208531961326947</v>
      </c>
      <c r="R42" s="8">
        <f>R10</f>
        <v>0.10500000000000001</v>
      </c>
      <c r="S42" s="36"/>
      <c r="T42" s="61"/>
      <c r="U42" s="61"/>
      <c r="V42" s="61"/>
      <c r="W42" s="61"/>
      <c r="X42" s="61"/>
      <c r="Y42" s="61"/>
      <c r="Z42" s="61"/>
    </row>
    <row r="43" spans="1:26" x14ac:dyDescent="0.25">
      <c r="A43" s="35">
        <v>1</v>
      </c>
      <c r="B43" s="34">
        <f>291+100</f>
        <v>391</v>
      </c>
      <c r="C43" s="50" t="s">
        <v>220</v>
      </c>
      <c r="D43" s="90" t="s">
        <v>175</v>
      </c>
      <c r="E43" s="18" t="s">
        <v>91</v>
      </c>
      <c r="F43" s="13">
        <v>4</v>
      </c>
      <c r="G43" s="40"/>
      <c r="H43" s="6">
        <f>IF(F43="","",N43-VLOOKUP(F43,Parts!A:F,6,FALSE))</f>
        <v>-18.025417149266652</v>
      </c>
      <c r="I43" s="6">
        <f>IF(F43="","",IF(F43=0,"",H43-(Standards!D$14*L$5)-(Standards!D$15*K$5)))</f>
        <v>-18.380865144292315</v>
      </c>
      <c r="J43" s="12" t="str">
        <f>IF(F43="","",VLOOKUP(F43,Parts!A:J,10,FALSE))</f>
        <v>USBM1X4</v>
      </c>
      <c r="K43" s="12" t="str">
        <f>IF(F43="","",VLOOKUP(F43,Parts!A:N,14,FALSE))</f>
        <v>PLO-U-104-SCA-SCA</v>
      </c>
      <c r="L43" s="33" t="s">
        <v>316</v>
      </c>
      <c r="M43" s="33" t="s">
        <v>317</v>
      </c>
      <c r="N43" s="8">
        <f>IF(F43="","",L$41-Q43-R43)</f>
        <v>-10.785417149266653</v>
      </c>
      <c r="O43" s="8">
        <f t="shared" ref="O43:O72" si="4">VLOOKUP(H$5,Losses,3,FALSE)</f>
        <v>3.5000000000000003E-2</v>
      </c>
      <c r="P43" s="8">
        <f>IF(F43="","",N43-O43)</f>
        <v>-10.820417149266653</v>
      </c>
      <c r="Q43" s="8">
        <f>(B43*Standards!D$15)+Q42</f>
        <v>0.3026054303166259</v>
      </c>
      <c r="R43" s="8">
        <f t="shared" ref="R43:R72" si="5">IF(F43&lt;&gt;"",VLOOKUP(H$5,Losses,3,FALSE)+R42,R42)</f>
        <v>0.14000000000000001</v>
      </c>
    </row>
    <row r="44" spans="1:26" x14ac:dyDescent="0.25">
      <c r="A44" s="35">
        <v>2</v>
      </c>
      <c r="B44" s="34">
        <f>807+100</f>
        <v>907</v>
      </c>
      <c r="C44" s="50" t="s">
        <v>220</v>
      </c>
      <c r="D44" s="90" t="s">
        <v>176</v>
      </c>
      <c r="E44" s="16" t="s">
        <v>91</v>
      </c>
      <c r="F44" s="13">
        <v>4</v>
      </c>
      <c r="G44" s="55"/>
      <c r="H44" s="6">
        <f>IF(F44="","",N44-VLOOKUP(F44,Parts!A:F,6,FALSE))</f>
        <v>-18.154411370258838</v>
      </c>
      <c r="I44" s="6">
        <f>IF(F44="","",IF(F44=0,"",H44-(Standards!D$14*L$5)-(Standards!D$15*K$5)))</f>
        <v>-18.509859365284502</v>
      </c>
      <c r="J44" s="12" t="str">
        <f>IF(F44="","",VLOOKUP(F44,Parts!A:J,10,FALSE))</f>
        <v>USBM1X4</v>
      </c>
      <c r="K44" s="12" t="str">
        <f>IF(F44="","",VLOOKUP(F44,Parts!A:N,14,FALSE))</f>
        <v>PLO-U-104-SCA-SCA</v>
      </c>
      <c r="L44" s="33" t="s">
        <v>318</v>
      </c>
      <c r="M44" s="33" t="s">
        <v>319</v>
      </c>
      <c r="N44" s="8">
        <f>IF(F44="","",L$41-Q44-R44)</f>
        <v>-10.914411370258838</v>
      </c>
      <c r="O44" s="8">
        <f t="shared" si="4"/>
        <v>3.5000000000000003E-2</v>
      </c>
      <c r="P44" s="8">
        <f t="shared" ref="P44:P72" si="6">IF(F44="","",N44-O44)</f>
        <v>-10.949411370258838</v>
      </c>
      <c r="Q44" s="8">
        <f>(B44*Standards!D$15)+Q43</f>
        <v>0.3965996513088107</v>
      </c>
      <c r="R44" s="8">
        <f t="shared" si="5"/>
        <v>0.17500000000000002</v>
      </c>
    </row>
    <row r="45" spans="1:26" x14ac:dyDescent="0.25">
      <c r="A45" s="35">
        <v>3</v>
      </c>
      <c r="B45" s="34">
        <f>806+100</f>
        <v>906</v>
      </c>
      <c r="C45" s="50" t="s">
        <v>220</v>
      </c>
      <c r="D45" s="90" t="s">
        <v>221</v>
      </c>
      <c r="E45" s="17" t="s">
        <v>91</v>
      </c>
      <c r="F45" s="13">
        <v>4</v>
      </c>
      <c r="G45" s="40"/>
      <c r="H45" s="6">
        <f>IF(F45="","",N45-VLOOKUP(F45,Parts!A:F,6,FALSE))</f>
        <v>-18.283301959254338</v>
      </c>
      <c r="I45" s="6">
        <f>IF(F45="","",IF(F45=0,"",H45-(Standards!D$14*L$5)-(Standards!D$15*K$5)))</f>
        <v>-18.638749954280001</v>
      </c>
      <c r="J45" s="12" t="str">
        <f>IF(F45="","",VLOOKUP(F45,Parts!A:J,10,FALSE))</f>
        <v>USBM1X4</v>
      </c>
      <c r="K45" s="12" t="str">
        <f>IF(F45="","",VLOOKUP(F45,Parts!A:N,14,FALSE))</f>
        <v>PLO-U-104-SCA-SCA</v>
      </c>
      <c r="L45" s="33" t="s">
        <v>320</v>
      </c>
      <c r="M45" s="33" t="s">
        <v>321</v>
      </c>
      <c r="N45" s="8">
        <f>IF(F45="","",L$41-Q45-R45)</f>
        <v>-11.043301959254338</v>
      </c>
      <c r="O45" s="8">
        <f t="shared" si="4"/>
        <v>3.5000000000000003E-2</v>
      </c>
      <c r="P45" s="8">
        <f t="shared" si="6"/>
        <v>-11.078301959254338</v>
      </c>
      <c r="Q45" s="8">
        <f>(B45*Standards!D$15)+Q44</f>
        <v>0.49049024030431176</v>
      </c>
      <c r="R45" s="8">
        <f t="shared" si="5"/>
        <v>0.21000000000000002</v>
      </c>
    </row>
    <row r="46" spans="1:26" x14ac:dyDescent="0.25">
      <c r="A46" s="35">
        <v>4</v>
      </c>
      <c r="B46" s="34">
        <f>785+100</f>
        <v>885</v>
      </c>
      <c r="C46" s="50" t="s">
        <v>220</v>
      </c>
      <c r="D46" s="90" t="s">
        <v>223</v>
      </c>
      <c r="E46" s="16" t="s">
        <v>91</v>
      </c>
      <c r="F46" s="13">
        <v>0</v>
      </c>
      <c r="G46" s="55" t="s">
        <v>195</v>
      </c>
      <c r="H46" s="6">
        <f>IF(F46="","",N46-VLOOKUP(F46,Parts!A:F,6,FALSE))</f>
        <v>-11.170016276319478</v>
      </c>
      <c r="I46" s="6" t="str">
        <f>IF(F46="","",IF(F46=0,"",H46-(Standards!D$14*L$5)-(Standards!D$15*K$5)))</f>
        <v/>
      </c>
      <c r="J46" s="12" t="str">
        <f>IF(F46="","",VLOOKUP(F46,Parts!A:J,10,FALSE))</f>
        <v>N/A</v>
      </c>
      <c r="K46" s="12" t="str">
        <f>IF(F46="","",VLOOKUP(F46,Parts!A:N,14,FALSE))</f>
        <v>N/A</v>
      </c>
      <c r="L46" s="33"/>
      <c r="M46" s="33"/>
      <c r="N46" s="8">
        <f>IF(F46="","",L$41-Q46-R46)</f>
        <v>-11.170016276319478</v>
      </c>
      <c r="O46" s="8">
        <f t="shared" si="4"/>
        <v>3.5000000000000003E-2</v>
      </c>
      <c r="P46" s="8">
        <f t="shared" si="6"/>
        <v>-11.205016276319478</v>
      </c>
      <c r="Q46" s="8">
        <f>(B46*Standards!D$15)+Q45</f>
        <v>0.58220455736945353</v>
      </c>
      <c r="R46" s="8">
        <f t="shared" si="5"/>
        <v>0.24500000000000002</v>
      </c>
      <c r="S46" s="8" t="s">
        <v>195</v>
      </c>
    </row>
    <row r="47" spans="1:26" x14ac:dyDescent="0.25">
      <c r="A47" s="35">
        <v>5</v>
      </c>
      <c r="B47" s="34">
        <f>301+100</f>
        <v>401</v>
      </c>
      <c r="C47" s="50" t="s">
        <v>220</v>
      </c>
      <c r="D47" s="90" t="s">
        <v>222</v>
      </c>
      <c r="E47" s="16" t="s">
        <v>91</v>
      </c>
      <c r="F47" s="13">
        <v>4</v>
      </c>
      <c r="G47" s="55"/>
      <c r="H47" s="6">
        <f>IF(F47="","",N47-VLOOKUP(F47,Parts!A:F,6,FALSE))</f>
        <v>-18.486572706989673</v>
      </c>
      <c r="I47" s="6">
        <f>IF(F47="","",IF(F47=0,"",H47-(Standards!D$14*L$5)-(Standards!D$15*K$5)))</f>
        <v>-18.842020702015336</v>
      </c>
      <c r="J47" s="12" t="str">
        <f>IF(F47="","",VLOOKUP(F47,Parts!A:J,10,FALSE))</f>
        <v>USBM1X4</v>
      </c>
      <c r="K47" s="12" t="str">
        <f>IF(F47="","",VLOOKUP(F47,Parts!A:N,14,FALSE))</f>
        <v>PLO-U-104-SCA-SCA</v>
      </c>
      <c r="L47" s="33" t="s">
        <v>324</v>
      </c>
      <c r="M47" s="33" t="s">
        <v>325</v>
      </c>
      <c r="N47" s="8">
        <f>IF(F47="","",L$41-Q47-R47)</f>
        <v>-11.246572706989673</v>
      </c>
      <c r="O47" s="8">
        <f t="shared" si="4"/>
        <v>3.5000000000000003E-2</v>
      </c>
      <c r="P47" s="8">
        <f t="shared" si="6"/>
        <v>-11.281572706989673</v>
      </c>
      <c r="Q47" s="8">
        <f>(B47*Standards!D$15)+Q46</f>
        <v>0.62376098803964775</v>
      </c>
      <c r="R47" s="8">
        <f t="shared" si="5"/>
        <v>0.28000000000000003</v>
      </c>
    </row>
    <row r="48" spans="1:26" x14ac:dyDescent="0.25">
      <c r="A48" s="35">
        <v>6</v>
      </c>
      <c r="B48" s="34"/>
      <c r="C48" s="50"/>
      <c r="D48" s="51"/>
      <c r="E48" s="16"/>
      <c r="F48" s="13"/>
      <c r="G48" s="56"/>
      <c r="H48" s="6" t="str">
        <f>IF(F48="","",N48-VLOOKUP(F48,Parts!A:F,6,FALSE))</f>
        <v/>
      </c>
      <c r="I48" s="6" t="str">
        <f>IF(F48="","",IF(F48=0,"",H48-(Standards!D$14*L$5)-(Standards!D$15*K$5)))</f>
        <v/>
      </c>
      <c r="J48" s="12" t="str">
        <f>IF(F48="","",VLOOKUP(F48,Parts!A:J,10,FALSE))</f>
        <v/>
      </c>
      <c r="K48" s="12" t="str">
        <f>IF(F48="","",VLOOKUP(F48,Parts!A:N,14,FALSE))</f>
        <v/>
      </c>
      <c r="L48" s="33"/>
      <c r="M48" s="33"/>
      <c r="N48" s="8" t="str">
        <f>IF(F48="","",L$41-Q48-R48)</f>
        <v/>
      </c>
      <c r="O48" s="8">
        <f t="shared" si="4"/>
        <v>3.5000000000000003E-2</v>
      </c>
      <c r="P48" s="8" t="str">
        <f t="shared" si="6"/>
        <v/>
      </c>
      <c r="Q48" s="8">
        <f>(B48*Standards!D$15)+Q47</f>
        <v>0.62376098803964775</v>
      </c>
      <c r="R48" s="8">
        <f t="shared" si="5"/>
        <v>0.28000000000000003</v>
      </c>
    </row>
    <row r="49" spans="1:26" x14ac:dyDescent="0.25">
      <c r="A49" s="35">
        <v>7</v>
      </c>
      <c r="B49" s="34"/>
      <c r="C49" s="50"/>
      <c r="D49" s="51"/>
      <c r="E49" s="16"/>
      <c r="F49" s="13"/>
      <c r="G49" s="56"/>
      <c r="H49" s="6" t="str">
        <f>IF(F49="","",N49-VLOOKUP(F49,Parts!A:F,6,FALSE))</f>
        <v/>
      </c>
      <c r="I49" s="6" t="str">
        <f>IF(F49="","",IF(F49=0,"",H49-(Standards!D$14*L$5)-(Standards!D$15*K$5)))</f>
        <v/>
      </c>
      <c r="J49" s="12" t="str">
        <f>IF(F49="","",VLOOKUP(F49,Parts!A:J,10,FALSE))</f>
        <v/>
      </c>
      <c r="K49" s="12" t="str">
        <f>IF(F49="","",VLOOKUP(F49,Parts!A:N,14,FALSE))</f>
        <v/>
      </c>
      <c r="L49" s="33"/>
      <c r="M49" s="33"/>
      <c r="N49" s="8" t="str">
        <f>IF(F49="","",L$41-Q49-R49)</f>
        <v/>
      </c>
      <c r="O49" s="8">
        <f t="shared" si="4"/>
        <v>3.5000000000000003E-2</v>
      </c>
      <c r="P49" s="8" t="str">
        <f t="shared" si="6"/>
        <v/>
      </c>
      <c r="Q49" s="8">
        <f>(B49*Standards!D$15)+Q48</f>
        <v>0.62376098803964775</v>
      </c>
      <c r="R49" s="8">
        <f t="shared" si="5"/>
        <v>0.28000000000000003</v>
      </c>
    </row>
    <row r="50" spans="1:26" x14ac:dyDescent="0.25">
      <c r="A50" s="35">
        <v>8</v>
      </c>
      <c r="B50" s="34"/>
      <c r="C50" s="50"/>
      <c r="D50" s="51"/>
      <c r="E50" s="16"/>
      <c r="F50" s="13"/>
      <c r="G50" s="40"/>
      <c r="H50" s="6" t="str">
        <f>IF(F50="","",N50-VLOOKUP(F50,Parts!A:F,6,FALSE))</f>
        <v/>
      </c>
      <c r="I50" s="6" t="str">
        <f>IF(F50="","",IF(F50=0,"",H50-(Standards!D$14*L$5)-(Standards!D$15*K$5)))</f>
        <v/>
      </c>
      <c r="J50" s="12" t="str">
        <f>IF(F50="","",VLOOKUP(F50,Parts!A:J,10,FALSE))</f>
        <v/>
      </c>
      <c r="K50" s="12" t="str">
        <f>IF(F50="","",VLOOKUP(F50,Parts!A:N,14,FALSE))</f>
        <v/>
      </c>
      <c r="L50" s="33"/>
      <c r="M50" s="33"/>
      <c r="N50" s="8" t="str">
        <f>IF(F50="","",L$41-Q50-R50)</f>
        <v/>
      </c>
      <c r="O50" s="8">
        <f t="shared" si="4"/>
        <v>3.5000000000000003E-2</v>
      </c>
      <c r="P50" s="8" t="str">
        <f t="shared" si="6"/>
        <v/>
      </c>
      <c r="Q50" s="8">
        <f>(B50*Standards!D$15)+Q49</f>
        <v>0.62376098803964775</v>
      </c>
      <c r="R50" s="8">
        <f t="shared" si="5"/>
        <v>0.28000000000000003</v>
      </c>
    </row>
    <row r="51" spans="1:26" x14ac:dyDescent="0.25">
      <c r="A51" s="35">
        <v>9</v>
      </c>
      <c r="B51" s="34"/>
      <c r="C51" s="50"/>
      <c r="D51" s="52"/>
      <c r="E51" s="17"/>
      <c r="F51" s="13"/>
      <c r="G51" s="40"/>
      <c r="H51" s="6" t="str">
        <f>IF(F51="","",N51-VLOOKUP(F51,Parts!A:F,6,FALSE))</f>
        <v/>
      </c>
      <c r="I51" s="6" t="str">
        <f>IF(F51="","",IF(F51=0,"",H51-(Standards!D$14*L$5)-(Standards!D$15*K$5)))</f>
        <v/>
      </c>
      <c r="J51" s="12" t="str">
        <f>IF(F51="","",VLOOKUP(F51,Parts!A:J,10,FALSE))</f>
        <v/>
      </c>
      <c r="K51" s="12" t="str">
        <f>IF(F51="","",VLOOKUP(F51,Parts!A:N,14,FALSE))</f>
        <v/>
      </c>
      <c r="L51" s="33"/>
      <c r="M51" s="33"/>
      <c r="N51" s="8" t="str">
        <f>IF(F51="","",L$41-Q51-R51)</f>
        <v/>
      </c>
      <c r="O51" s="8">
        <f t="shared" si="4"/>
        <v>3.5000000000000003E-2</v>
      </c>
      <c r="P51" s="8" t="str">
        <f t="shared" si="6"/>
        <v/>
      </c>
      <c r="Q51" s="8">
        <f>(B51*Standards!D$15)+Q50</f>
        <v>0.62376098803964775</v>
      </c>
      <c r="R51" s="8">
        <f t="shared" si="5"/>
        <v>0.28000000000000003</v>
      </c>
    </row>
    <row r="52" spans="1:26" s="8" customFormat="1" x14ac:dyDescent="0.25">
      <c r="A52" s="35">
        <v>10</v>
      </c>
      <c r="B52" s="34"/>
      <c r="C52" s="50"/>
      <c r="D52" s="52"/>
      <c r="E52" s="17"/>
      <c r="F52" s="13"/>
      <c r="G52" s="40"/>
      <c r="H52" s="6" t="str">
        <f>IF(F52="","",N52-VLOOKUP(F52,Parts!A:F,6,FALSE))</f>
        <v/>
      </c>
      <c r="I52" s="6" t="str">
        <f>IF(F52="","",IF(F52=0,"",H52-(Standards!D$14*L$5)-(Standards!D$15*K$5)))</f>
        <v/>
      </c>
      <c r="J52" s="12" t="str">
        <f>IF(F52="","",VLOOKUP(F52,Parts!A:J,10,FALSE))</f>
        <v/>
      </c>
      <c r="K52" s="12" t="str">
        <f>IF(F52="","",VLOOKUP(F52,Parts!A:N,14,FALSE))</f>
        <v/>
      </c>
      <c r="L52" s="33"/>
      <c r="M52" s="33"/>
      <c r="N52" s="8" t="str">
        <f>IF(F52="","",L$41-Q52-R52)</f>
        <v/>
      </c>
      <c r="O52" s="8">
        <f t="shared" si="4"/>
        <v>3.5000000000000003E-2</v>
      </c>
      <c r="P52" s="8" t="str">
        <f t="shared" si="6"/>
        <v/>
      </c>
      <c r="Q52" s="8">
        <f>(B52*Standards!D$15)+Q51</f>
        <v>0.62376098803964775</v>
      </c>
      <c r="R52" s="8">
        <f t="shared" si="5"/>
        <v>0.28000000000000003</v>
      </c>
      <c r="T52" s="59"/>
      <c r="U52" s="59"/>
      <c r="V52" s="59"/>
      <c r="W52" s="59"/>
      <c r="X52" s="59"/>
      <c r="Y52" s="59"/>
      <c r="Z52" s="59"/>
    </row>
    <row r="53" spans="1:26" s="8" customFormat="1" x14ac:dyDescent="0.25">
      <c r="A53" s="35">
        <v>11</v>
      </c>
      <c r="B53" s="34"/>
      <c r="C53" s="50"/>
      <c r="D53" s="51"/>
      <c r="E53" s="18"/>
      <c r="F53" s="13"/>
      <c r="G53" s="40"/>
      <c r="H53" s="6" t="str">
        <f>IF(F53="","",N53-VLOOKUP(F53,Parts!A:F,6,FALSE))</f>
        <v/>
      </c>
      <c r="I53" s="6" t="str">
        <f>IF(F53="","",IF(F53=0,"",H53-(Standards!D$14*L$5)-(Standards!D$15*K$5)))</f>
        <v/>
      </c>
      <c r="J53" s="12" t="str">
        <f>IF(F53="","",VLOOKUP(F53,Parts!A:J,10,FALSE))</f>
        <v/>
      </c>
      <c r="K53" s="12" t="str">
        <f>IF(F53="","",VLOOKUP(F53,Parts!A:N,14,FALSE))</f>
        <v/>
      </c>
      <c r="L53" s="33"/>
      <c r="M53" s="33"/>
      <c r="N53" s="8" t="str">
        <f>IF(F53="","",L$41-Q53-R53)</f>
        <v/>
      </c>
      <c r="O53" s="8">
        <f t="shared" si="4"/>
        <v>3.5000000000000003E-2</v>
      </c>
      <c r="P53" s="8" t="str">
        <f t="shared" si="6"/>
        <v/>
      </c>
      <c r="Q53" s="8">
        <f>(B53*Standards!D$15)+Q52</f>
        <v>0.62376098803964775</v>
      </c>
      <c r="R53" s="8">
        <f t="shared" si="5"/>
        <v>0.28000000000000003</v>
      </c>
      <c r="T53" s="59"/>
      <c r="U53" s="59"/>
      <c r="V53" s="59"/>
      <c r="W53" s="59"/>
      <c r="X53" s="59"/>
      <c r="Y53" s="59"/>
      <c r="Z53" s="59"/>
    </row>
    <row r="54" spans="1:26" s="8" customFormat="1" x14ac:dyDescent="0.25">
      <c r="A54" s="35">
        <v>12</v>
      </c>
      <c r="B54" s="34"/>
      <c r="C54" s="50"/>
      <c r="D54" s="52"/>
      <c r="E54" s="17"/>
      <c r="F54" s="13"/>
      <c r="G54" s="40"/>
      <c r="H54" s="6" t="str">
        <f>IF(F54="","",N54-VLOOKUP(F54,Parts!A:F,6,FALSE))</f>
        <v/>
      </c>
      <c r="I54" s="6" t="str">
        <f>IF(F54="","",IF(F54=0,"",H54-(Standards!D$14*L$5)-(Standards!D$15*K$5)))</f>
        <v/>
      </c>
      <c r="J54" s="12" t="str">
        <f>IF(F54="","",VLOOKUP(F54,Parts!A:J,10,FALSE))</f>
        <v/>
      </c>
      <c r="K54" s="12" t="str">
        <f>IF(F54="","",VLOOKUP(F54,Parts!A:N,14,FALSE))</f>
        <v/>
      </c>
      <c r="L54" s="33"/>
      <c r="M54" s="33"/>
      <c r="N54" s="8" t="str">
        <f>IF(F54="","",L$41-Q54-R54)</f>
        <v/>
      </c>
      <c r="O54" s="8">
        <f t="shared" si="4"/>
        <v>3.5000000000000003E-2</v>
      </c>
      <c r="P54" s="8" t="str">
        <f t="shared" si="6"/>
        <v/>
      </c>
      <c r="Q54" s="8">
        <f>(B54*Standards!D$15)+Q53</f>
        <v>0.62376098803964775</v>
      </c>
      <c r="R54" s="8">
        <f t="shared" si="5"/>
        <v>0.28000000000000003</v>
      </c>
      <c r="T54" s="59"/>
      <c r="U54" s="59"/>
      <c r="V54" s="59"/>
      <c r="W54" s="59"/>
      <c r="X54" s="59"/>
      <c r="Y54" s="59"/>
      <c r="Z54" s="59"/>
    </row>
    <row r="55" spans="1:26" s="8" customFormat="1" x14ac:dyDescent="0.25">
      <c r="A55" s="35">
        <v>13</v>
      </c>
      <c r="B55" s="34"/>
      <c r="C55" s="50"/>
      <c r="D55" s="53"/>
      <c r="E55" s="16"/>
      <c r="F55" s="13"/>
      <c r="G55" s="40"/>
      <c r="H55" s="6" t="str">
        <f>IF(F55="","",N55-VLOOKUP(F55,Parts!A:F,6,FALSE))</f>
        <v/>
      </c>
      <c r="I55" s="6" t="str">
        <f>IF(F55="","",IF(F55=0,"",H55-(Standards!D$14*L$5)-(Standards!D$15*K$5)))</f>
        <v/>
      </c>
      <c r="J55" s="12" t="str">
        <f>IF(F55="","",VLOOKUP(F55,Parts!A:J,10,FALSE))</f>
        <v/>
      </c>
      <c r="K55" s="12" t="str">
        <f>IF(F55="","",VLOOKUP(F55,Parts!A:N,14,FALSE))</f>
        <v/>
      </c>
      <c r="L55" s="33"/>
      <c r="M55" s="33"/>
      <c r="N55" s="8" t="str">
        <f>IF(F55="","",L$41-Q55-R55)</f>
        <v/>
      </c>
      <c r="O55" s="8">
        <f t="shared" si="4"/>
        <v>3.5000000000000003E-2</v>
      </c>
      <c r="P55" s="8" t="str">
        <f t="shared" si="6"/>
        <v/>
      </c>
      <c r="Q55" s="8">
        <f>(B55*Standards!D$15)+Q54</f>
        <v>0.62376098803964775</v>
      </c>
      <c r="R55" s="8">
        <f t="shared" si="5"/>
        <v>0.28000000000000003</v>
      </c>
      <c r="T55" s="59"/>
      <c r="U55" s="59"/>
      <c r="V55" s="59"/>
      <c r="W55" s="59"/>
      <c r="X55" s="59"/>
      <c r="Y55" s="59"/>
      <c r="Z55" s="59"/>
    </row>
    <row r="56" spans="1:26" s="8" customFormat="1" x14ac:dyDescent="0.25">
      <c r="A56" s="35">
        <v>14</v>
      </c>
      <c r="B56" s="34"/>
      <c r="C56" s="50"/>
      <c r="D56" s="53"/>
      <c r="E56" s="16"/>
      <c r="F56" s="13"/>
      <c r="G56" s="40"/>
      <c r="H56" s="6" t="str">
        <f>IF(F56="","",N56-VLOOKUP(F56,Parts!A:F,6,FALSE))</f>
        <v/>
      </c>
      <c r="I56" s="6" t="str">
        <f>IF(F56="","",IF(F56=0,"",H56-(Standards!D$14*L$5)-(Standards!D$15*K$5)))</f>
        <v/>
      </c>
      <c r="J56" s="12" t="str">
        <f>IF(F56="","",VLOOKUP(F56,Parts!A:J,10,FALSE))</f>
        <v/>
      </c>
      <c r="K56" s="12" t="str">
        <f>IF(F56="","",VLOOKUP(F56,Parts!A:N,14,FALSE))</f>
        <v/>
      </c>
      <c r="L56" s="33"/>
      <c r="M56" s="33"/>
      <c r="N56" s="8" t="str">
        <f>IF(F56="","",L$41-Q56-R56)</f>
        <v/>
      </c>
      <c r="O56" s="8">
        <f t="shared" si="4"/>
        <v>3.5000000000000003E-2</v>
      </c>
      <c r="P56" s="8" t="str">
        <f t="shared" si="6"/>
        <v/>
      </c>
      <c r="Q56" s="8">
        <f>(B56*Standards!D$15)+Q55</f>
        <v>0.62376098803964775</v>
      </c>
      <c r="R56" s="8">
        <f t="shared" si="5"/>
        <v>0.28000000000000003</v>
      </c>
      <c r="T56" s="59"/>
      <c r="U56" s="59"/>
      <c r="V56" s="59"/>
      <c r="W56" s="59"/>
      <c r="X56" s="59"/>
      <c r="Y56" s="59"/>
      <c r="Z56" s="59"/>
    </row>
    <row r="57" spans="1:26" s="8" customFormat="1" x14ac:dyDescent="0.25">
      <c r="A57" s="35">
        <v>15</v>
      </c>
      <c r="B57" s="34"/>
      <c r="C57" s="50"/>
      <c r="D57" s="53"/>
      <c r="E57" s="16"/>
      <c r="F57" s="13"/>
      <c r="G57" s="40"/>
      <c r="H57" s="6" t="str">
        <f>IF(F57="","",N57-VLOOKUP(F57,Parts!A:F,6,FALSE))</f>
        <v/>
      </c>
      <c r="I57" s="6" t="str">
        <f>IF(F57="","",IF(F57=0,"",H57-(Standards!D$14*L$5)-(Standards!D$15*K$5)))</f>
        <v/>
      </c>
      <c r="J57" s="12" t="str">
        <f>IF(F57="","",VLOOKUP(F57,Parts!A:J,10,FALSE))</f>
        <v/>
      </c>
      <c r="K57" s="12" t="str">
        <f>IF(F57="","",VLOOKUP(F57,Parts!A:N,14,FALSE))</f>
        <v/>
      </c>
      <c r="L57" s="33"/>
      <c r="M57" s="33"/>
      <c r="N57" s="8" t="str">
        <f>IF(F57="","",L$41-Q57-R57)</f>
        <v/>
      </c>
      <c r="O57" s="8">
        <f t="shared" si="4"/>
        <v>3.5000000000000003E-2</v>
      </c>
      <c r="P57" s="8" t="str">
        <f t="shared" si="6"/>
        <v/>
      </c>
      <c r="Q57" s="8">
        <f>(B57*Standards!D$15)+Q56</f>
        <v>0.62376098803964775</v>
      </c>
      <c r="R57" s="8">
        <f t="shared" si="5"/>
        <v>0.28000000000000003</v>
      </c>
      <c r="T57" s="59"/>
      <c r="U57" s="59"/>
      <c r="V57" s="59"/>
      <c r="W57" s="59"/>
      <c r="X57" s="59"/>
      <c r="Y57" s="59"/>
      <c r="Z57" s="59"/>
    </row>
    <row r="58" spans="1:26" s="8" customFormat="1" x14ac:dyDescent="0.25">
      <c r="A58" s="35">
        <v>16</v>
      </c>
      <c r="B58" s="34"/>
      <c r="C58" s="50"/>
      <c r="D58" s="53"/>
      <c r="E58" s="16"/>
      <c r="F58" s="13"/>
      <c r="G58" s="40"/>
      <c r="H58" s="6" t="str">
        <f>IF(F58="","",N58-VLOOKUP(F58,Parts!A:F,6,FALSE))</f>
        <v/>
      </c>
      <c r="I58" s="6" t="str">
        <f>IF(F58="","",IF(F58=0,"",H58-(Standards!D$14*L$5)-(Standards!D$15*K$5)))</f>
        <v/>
      </c>
      <c r="J58" s="12" t="str">
        <f>IF(F58="","",VLOOKUP(F58,Parts!A:J,10,FALSE))</f>
        <v/>
      </c>
      <c r="K58" s="12" t="str">
        <f>IF(F58="","",VLOOKUP(F58,Parts!A:N,14,FALSE))</f>
        <v/>
      </c>
      <c r="L58" s="33"/>
      <c r="M58" s="33"/>
      <c r="N58" s="8" t="str">
        <f>IF(F58="","",L$41-Q58-R58)</f>
        <v/>
      </c>
      <c r="O58" s="8">
        <f t="shared" si="4"/>
        <v>3.5000000000000003E-2</v>
      </c>
      <c r="P58" s="8" t="str">
        <f t="shared" si="6"/>
        <v/>
      </c>
      <c r="Q58" s="8">
        <f>(B58*Standards!D$15)+Q57</f>
        <v>0.62376098803964775</v>
      </c>
      <c r="R58" s="8">
        <f t="shared" si="5"/>
        <v>0.28000000000000003</v>
      </c>
      <c r="T58" s="59"/>
      <c r="U58" s="59"/>
      <c r="V58" s="59"/>
      <c r="W58" s="59"/>
      <c r="X58" s="59"/>
      <c r="Y58" s="59"/>
      <c r="Z58" s="59"/>
    </row>
    <row r="59" spans="1:26" s="8" customFormat="1" x14ac:dyDescent="0.25">
      <c r="A59" s="35">
        <v>17</v>
      </c>
      <c r="B59" s="34"/>
      <c r="C59" s="50"/>
      <c r="D59" s="53"/>
      <c r="E59" s="16"/>
      <c r="F59" s="13"/>
      <c r="G59" s="40"/>
      <c r="H59" s="6" t="str">
        <f>IF(F59="","",N59-VLOOKUP(F59,Parts!A:F,6,FALSE))</f>
        <v/>
      </c>
      <c r="I59" s="6" t="str">
        <f>IF(F59="","",IF(F59=0,"",H59-(Standards!D$14*L$5)-(Standards!D$15*K$5)))</f>
        <v/>
      </c>
      <c r="J59" s="12" t="str">
        <f>IF(F59="","",VLOOKUP(F59,Parts!A:J,10,FALSE))</f>
        <v/>
      </c>
      <c r="K59" s="12" t="str">
        <f>IF(F59="","",VLOOKUP(F59,Parts!A:N,14,FALSE))</f>
        <v/>
      </c>
      <c r="L59" s="33"/>
      <c r="M59" s="33"/>
      <c r="N59" s="8" t="str">
        <f>IF(F59="","",L$41-Q59-R59)</f>
        <v/>
      </c>
      <c r="O59" s="8">
        <f t="shared" si="4"/>
        <v>3.5000000000000003E-2</v>
      </c>
      <c r="P59" s="8" t="str">
        <f t="shared" si="6"/>
        <v/>
      </c>
      <c r="Q59" s="8">
        <f>(B59*Standards!D$15)+Q58</f>
        <v>0.62376098803964775</v>
      </c>
      <c r="R59" s="8">
        <f t="shared" si="5"/>
        <v>0.28000000000000003</v>
      </c>
      <c r="T59" s="59"/>
      <c r="U59" s="59"/>
      <c r="V59" s="59"/>
      <c r="W59" s="59"/>
      <c r="X59" s="59"/>
      <c r="Y59" s="59"/>
      <c r="Z59" s="59"/>
    </row>
    <row r="60" spans="1:26" s="8" customFormat="1" x14ac:dyDescent="0.25">
      <c r="A60" s="35">
        <v>18</v>
      </c>
      <c r="B60" s="34"/>
      <c r="C60" s="50"/>
      <c r="D60" s="53"/>
      <c r="E60" s="16"/>
      <c r="F60" s="13"/>
      <c r="G60" s="40"/>
      <c r="H60" s="6" t="str">
        <f>IF(F60="","",N60-VLOOKUP(F60,Parts!A:F,6,FALSE))</f>
        <v/>
      </c>
      <c r="I60" s="6" t="str">
        <f>IF(F60="","",IF(F60=0,"",H60-(Standards!D$14*L$5)-(Standards!D$15*K$5)))</f>
        <v/>
      </c>
      <c r="J60" s="12" t="str">
        <f>IF(F60="","",VLOOKUP(F60,Parts!A:J,10,FALSE))</f>
        <v/>
      </c>
      <c r="K60" s="12" t="str">
        <f>IF(F60="","",VLOOKUP(F60,Parts!A:N,14,FALSE))</f>
        <v/>
      </c>
      <c r="L60" s="33"/>
      <c r="M60" s="33"/>
      <c r="N60" s="8" t="str">
        <f>IF(F60="","",L$41-Q60-R60)</f>
        <v/>
      </c>
      <c r="O60" s="8">
        <f t="shared" si="4"/>
        <v>3.5000000000000003E-2</v>
      </c>
      <c r="P60" s="8" t="str">
        <f t="shared" si="6"/>
        <v/>
      </c>
      <c r="Q60" s="8">
        <f>(B60*Standards!D$15)+Q59</f>
        <v>0.62376098803964775</v>
      </c>
      <c r="R60" s="8">
        <f t="shared" si="5"/>
        <v>0.28000000000000003</v>
      </c>
      <c r="T60" s="59"/>
      <c r="U60" s="59"/>
      <c r="V60" s="59"/>
      <c r="W60" s="59"/>
      <c r="X60" s="59"/>
      <c r="Y60" s="59"/>
      <c r="Z60" s="59"/>
    </row>
    <row r="61" spans="1:26" s="8" customFormat="1" x14ac:dyDescent="0.25">
      <c r="A61" s="35">
        <v>19</v>
      </c>
      <c r="B61" s="34"/>
      <c r="C61" s="50"/>
      <c r="D61" s="53"/>
      <c r="E61" s="16"/>
      <c r="F61" s="13"/>
      <c r="G61" s="40"/>
      <c r="H61" s="6" t="str">
        <f>IF(F61="","",N61-VLOOKUP(F61,Parts!A:F,6,FALSE))</f>
        <v/>
      </c>
      <c r="I61" s="6" t="str">
        <f>IF(F61="","",IF(F61=0,"",H61-(Standards!D$14*L$5)-(Standards!D$15*K$5)))</f>
        <v/>
      </c>
      <c r="J61" s="12" t="str">
        <f>IF(F61="","",VLOOKUP(F61,Parts!A:J,10,FALSE))</f>
        <v/>
      </c>
      <c r="K61" s="12" t="str">
        <f>IF(F61="","",VLOOKUP(F61,Parts!A:N,14,FALSE))</f>
        <v/>
      </c>
      <c r="L61" s="33"/>
      <c r="M61" s="33"/>
      <c r="N61" s="8" t="str">
        <f>IF(F61="","",L$41-Q61-R61)</f>
        <v/>
      </c>
      <c r="O61" s="8">
        <f t="shared" si="4"/>
        <v>3.5000000000000003E-2</v>
      </c>
      <c r="P61" s="8" t="str">
        <f t="shared" si="6"/>
        <v/>
      </c>
      <c r="Q61" s="8">
        <f>(B61*Standards!D$15)+Q60</f>
        <v>0.62376098803964775</v>
      </c>
      <c r="R61" s="8">
        <f t="shared" si="5"/>
        <v>0.28000000000000003</v>
      </c>
      <c r="T61" s="59"/>
      <c r="U61" s="59"/>
      <c r="V61" s="59"/>
      <c r="W61" s="59"/>
      <c r="X61" s="59"/>
      <c r="Y61" s="59"/>
      <c r="Z61" s="59"/>
    </row>
    <row r="62" spans="1:26" s="8" customFormat="1" x14ac:dyDescent="0.25">
      <c r="A62" s="35">
        <v>20</v>
      </c>
      <c r="B62" s="34"/>
      <c r="C62" s="50"/>
      <c r="D62" s="53"/>
      <c r="E62" s="16"/>
      <c r="F62" s="13"/>
      <c r="G62" s="40"/>
      <c r="H62" s="6" t="str">
        <f>IF(F62="","",N62-VLOOKUP(F62,Parts!A:F,6,FALSE))</f>
        <v/>
      </c>
      <c r="I62" s="6" t="str">
        <f>IF(F62="","",IF(F62=0,"",H62-(Standards!D$14*L$5)-(Standards!D$15*K$5)))</f>
        <v/>
      </c>
      <c r="J62" s="12" t="str">
        <f>IF(F62="","",VLOOKUP(F62,Parts!A:J,10,FALSE))</f>
        <v/>
      </c>
      <c r="K62" s="12" t="str">
        <f>IF(F62="","",VLOOKUP(F62,Parts!A:N,14,FALSE))</f>
        <v/>
      </c>
      <c r="L62" s="33"/>
      <c r="M62" s="33"/>
      <c r="N62" s="8" t="str">
        <f>IF(F62="","",L$41-Q62-R62)</f>
        <v/>
      </c>
      <c r="O62" s="8">
        <f t="shared" si="4"/>
        <v>3.5000000000000003E-2</v>
      </c>
      <c r="P62" s="8" t="str">
        <f t="shared" si="6"/>
        <v/>
      </c>
      <c r="Q62" s="8">
        <f>(B62*Standards!D$15)+Q61</f>
        <v>0.62376098803964775</v>
      </c>
      <c r="R62" s="8">
        <f t="shared" si="5"/>
        <v>0.28000000000000003</v>
      </c>
      <c r="T62" s="59"/>
      <c r="U62" s="59"/>
      <c r="V62" s="59"/>
      <c r="W62" s="59"/>
      <c r="X62" s="59"/>
      <c r="Y62" s="59"/>
      <c r="Z62" s="59"/>
    </row>
    <row r="63" spans="1:26" s="8" customFormat="1" x14ac:dyDescent="0.25">
      <c r="A63" s="35">
        <v>21</v>
      </c>
      <c r="B63" s="34"/>
      <c r="C63" s="50"/>
      <c r="D63" s="53"/>
      <c r="E63" s="16"/>
      <c r="F63" s="13"/>
      <c r="G63" s="40"/>
      <c r="H63" s="6" t="str">
        <f>IF(F63="","",N63-VLOOKUP(F63,Parts!A:F,6,FALSE))</f>
        <v/>
      </c>
      <c r="I63" s="6" t="str">
        <f>IF(F63="","",IF(F63=0,"",H63-(Standards!D$14*L$5)-(Standards!D$15*K$5)))</f>
        <v/>
      </c>
      <c r="J63" s="12" t="str">
        <f>IF(F63="","",VLOOKUP(F63,Parts!A:J,10,FALSE))</f>
        <v/>
      </c>
      <c r="K63" s="12" t="str">
        <f>IF(F63="","",VLOOKUP(F63,Parts!A:N,14,FALSE))</f>
        <v/>
      </c>
      <c r="L63" s="33"/>
      <c r="M63" s="33"/>
      <c r="N63" s="8" t="str">
        <f>IF(F63="","",L$41-Q63-R63)</f>
        <v/>
      </c>
      <c r="O63" s="8">
        <f t="shared" si="4"/>
        <v>3.5000000000000003E-2</v>
      </c>
      <c r="P63" s="8" t="str">
        <f t="shared" si="6"/>
        <v/>
      </c>
      <c r="Q63" s="8">
        <f>(B63*Standards!D$15)+Q62</f>
        <v>0.62376098803964775</v>
      </c>
      <c r="R63" s="8">
        <f t="shared" si="5"/>
        <v>0.28000000000000003</v>
      </c>
      <c r="T63" s="59"/>
      <c r="U63" s="59"/>
      <c r="V63" s="59"/>
      <c r="W63" s="59"/>
      <c r="X63" s="59"/>
      <c r="Y63" s="59"/>
      <c r="Z63" s="59"/>
    </row>
    <row r="64" spans="1:26" s="8" customFormat="1" x14ac:dyDescent="0.25">
      <c r="A64" s="35">
        <v>22</v>
      </c>
      <c r="B64" s="34"/>
      <c r="C64" s="50"/>
      <c r="D64" s="53"/>
      <c r="E64" s="16"/>
      <c r="F64" s="13"/>
      <c r="G64" s="40"/>
      <c r="H64" s="6" t="str">
        <f>IF(F64="","",N64-VLOOKUP(F64,Parts!A:F,6,FALSE))</f>
        <v/>
      </c>
      <c r="I64" s="6" t="str">
        <f>IF(F64="","",IF(F64=0,"",H64-(Standards!D$14*L$5)-(Standards!D$15*K$5)))</f>
        <v/>
      </c>
      <c r="J64" s="12" t="str">
        <f>IF(F64="","",VLOOKUP(F64,Parts!A:J,10,FALSE))</f>
        <v/>
      </c>
      <c r="K64" s="12" t="str">
        <f>IF(F64="","",VLOOKUP(F64,Parts!A:N,14,FALSE))</f>
        <v/>
      </c>
      <c r="L64" s="33"/>
      <c r="M64" s="33"/>
      <c r="N64" s="8" t="str">
        <f>IF(F64="","",L$41-Q64-R64)</f>
        <v/>
      </c>
      <c r="O64" s="8">
        <f t="shared" si="4"/>
        <v>3.5000000000000003E-2</v>
      </c>
      <c r="P64" s="8" t="str">
        <f t="shared" si="6"/>
        <v/>
      </c>
      <c r="Q64" s="8">
        <f>(B64*Standards!D$15)+Q63</f>
        <v>0.62376098803964775</v>
      </c>
      <c r="R64" s="8">
        <f t="shared" si="5"/>
        <v>0.28000000000000003</v>
      </c>
      <c r="T64" s="59"/>
      <c r="U64" s="59"/>
      <c r="V64" s="59"/>
      <c r="W64" s="59"/>
      <c r="X64" s="59"/>
      <c r="Y64" s="59"/>
      <c r="Z64" s="59"/>
    </row>
    <row r="65" spans="1:26" s="8" customFormat="1" x14ac:dyDescent="0.25">
      <c r="A65" s="35">
        <v>23</v>
      </c>
      <c r="B65" s="34"/>
      <c r="C65" s="50"/>
      <c r="D65" s="53"/>
      <c r="E65" s="16"/>
      <c r="F65" s="13"/>
      <c r="G65" s="40"/>
      <c r="H65" s="6" t="str">
        <f>IF(F65="","",N65-VLOOKUP(F65,Parts!A:F,6,FALSE))</f>
        <v/>
      </c>
      <c r="I65" s="6" t="str">
        <f>IF(F65="","",IF(F65=0,"",H65-(Standards!D$14*L$5)-(Standards!D$15*K$5)))</f>
        <v/>
      </c>
      <c r="J65" s="12" t="str">
        <f>IF(F65="","",VLOOKUP(F65,Parts!A:J,10,FALSE))</f>
        <v/>
      </c>
      <c r="K65" s="12" t="str">
        <f>IF(F65="","",VLOOKUP(F65,Parts!A:N,14,FALSE))</f>
        <v/>
      </c>
      <c r="L65" s="33"/>
      <c r="M65" s="33"/>
      <c r="N65" s="8" t="str">
        <f>IF(F65="","",L$41-Q65-R65)</f>
        <v/>
      </c>
      <c r="O65" s="8">
        <f t="shared" si="4"/>
        <v>3.5000000000000003E-2</v>
      </c>
      <c r="P65" s="8" t="str">
        <f t="shared" si="6"/>
        <v/>
      </c>
      <c r="Q65" s="8">
        <f>(B65*Standards!D$15)+Q64</f>
        <v>0.62376098803964775</v>
      </c>
      <c r="R65" s="8">
        <f t="shared" si="5"/>
        <v>0.28000000000000003</v>
      </c>
      <c r="T65" s="59"/>
      <c r="U65" s="59"/>
      <c r="V65" s="59"/>
      <c r="W65" s="59"/>
      <c r="X65" s="59"/>
      <c r="Y65" s="59"/>
      <c r="Z65" s="59"/>
    </row>
    <row r="66" spans="1:26" s="8" customFormat="1" x14ac:dyDescent="0.25">
      <c r="A66" s="35">
        <v>24</v>
      </c>
      <c r="B66" s="34"/>
      <c r="C66" s="50"/>
      <c r="D66" s="53"/>
      <c r="E66" s="16"/>
      <c r="F66" s="13"/>
      <c r="G66" s="40"/>
      <c r="H66" s="6" t="str">
        <f>IF(F66="","",N66-VLOOKUP(F66,Parts!A:F,6,FALSE))</f>
        <v/>
      </c>
      <c r="I66" s="6" t="str">
        <f>IF(F66="","",IF(F66=0,"",H66-(Standards!D$14*L$5)-(Standards!D$15*K$5)))</f>
        <v/>
      </c>
      <c r="J66" s="12" t="str">
        <f>IF(F66="","",VLOOKUP(F66,Parts!A:J,10,FALSE))</f>
        <v/>
      </c>
      <c r="K66" s="12" t="str">
        <f>IF(F66="","",VLOOKUP(F66,Parts!A:N,14,FALSE))</f>
        <v/>
      </c>
      <c r="L66" s="33"/>
      <c r="M66" s="33"/>
      <c r="N66" s="8" t="str">
        <f>IF(F66="","",L$41-Q66-R66)</f>
        <v/>
      </c>
      <c r="O66" s="8">
        <f t="shared" si="4"/>
        <v>3.5000000000000003E-2</v>
      </c>
      <c r="P66" s="8" t="str">
        <f t="shared" si="6"/>
        <v/>
      </c>
      <c r="Q66" s="8">
        <f>(B66*Standards!D$15)+Q65</f>
        <v>0.62376098803964775</v>
      </c>
      <c r="R66" s="8">
        <f t="shared" si="5"/>
        <v>0.28000000000000003</v>
      </c>
      <c r="T66" s="59"/>
      <c r="U66" s="59"/>
      <c r="V66" s="59"/>
      <c r="W66" s="59"/>
      <c r="X66" s="59"/>
      <c r="Y66" s="59"/>
      <c r="Z66" s="59"/>
    </row>
    <row r="67" spans="1:26" s="8" customFormat="1" x14ac:dyDescent="0.25">
      <c r="A67" s="35">
        <v>25</v>
      </c>
      <c r="B67" s="34"/>
      <c r="C67" s="50"/>
      <c r="D67" s="53"/>
      <c r="E67" s="16"/>
      <c r="F67" s="13"/>
      <c r="G67" s="40"/>
      <c r="H67" s="6" t="str">
        <f>IF(F67="","",N67-VLOOKUP(F67,Parts!A:F,6,FALSE))</f>
        <v/>
      </c>
      <c r="I67" s="6" t="str">
        <f>IF(F67="","",IF(F67=0,"",H67-(Standards!D$14*L$5)-(Standards!D$15*K$5)))</f>
        <v/>
      </c>
      <c r="J67" s="12" t="str">
        <f>IF(F67="","",VLOOKUP(F67,Parts!A:J,10,FALSE))</f>
        <v/>
      </c>
      <c r="K67" s="12" t="str">
        <f>IF(F67="","",VLOOKUP(F67,Parts!A:N,14,FALSE))</f>
        <v/>
      </c>
      <c r="L67" s="33"/>
      <c r="M67" s="33"/>
      <c r="N67" s="8" t="str">
        <f>IF(F67="","",L$41-Q67-R67)</f>
        <v/>
      </c>
      <c r="O67" s="8">
        <f t="shared" si="4"/>
        <v>3.5000000000000003E-2</v>
      </c>
      <c r="P67" s="8" t="str">
        <f t="shared" si="6"/>
        <v/>
      </c>
      <c r="Q67" s="8">
        <f>(B67*Standards!D$15)+Q66</f>
        <v>0.62376098803964775</v>
      </c>
      <c r="R67" s="8">
        <f t="shared" si="5"/>
        <v>0.28000000000000003</v>
      </c>
      <c r="T67" s="59"/>
      <c r="U67" s="59"/>
      <c r="V67" s="59"/>
      <c r="W67" s="59"/>
      <c r="X67" s="59"/>
      <c r="Y67" s="59"/>
      <c r="Z67" s="59"/>
    </row>
    <row r="68" spans="1:26" s="8" customFormat="1" x14ac:dyDescent="0.25">
      <c r="A68" s="35">
        <v>26</v>
      </c>
      <c r="B68" s="34"/>
      <c r="C68" s="50"/>
      <c r="D68" s="53"/>
      <c r="E68" s="16"/>
      <c r="F68" s="13"/>
      <c r="G68" s="40"/>
      <c r="H68" s="6" t="str">
        <f>IF(F68="","",N68-VLOOKUP(F68,Parts!A:F,6,FALSE))</f>
        <v/>
      </c>
      <c r="I68" s="6" t="str">
        <f>IF(F68="","",IF(F68=0,"",H68-(Standards!D$14*L$5)-(Standards!D$15*K$5)))</f>
        <v/>
      </c>
      <c r="J68" s="12" t="str">
        <f>IF(F68="","",VLOOKUP(F68,Parts!A:J,10,FALSE))</f>
        <v/>
      </c>
      <c r="K68" s="12" t="str">
        <f>IF(F68="","",VLOOKUP(F68,Parts!A:N,14,FALSE))</f>
        <v/>
      </c>
      <c r="L68" s="33"/>
      <c r="M68" s="33"/>
      <c r="N68" s="8" t="str">
        <f>IF(F68="","",L$41-Q68-R68)</f>
        <v/>
      </c>
      <c r="O68" s="8">
        <f t="shared" si="4"/>
        <v>3.5000000000000003E-2</v>
      </c>
      <c r="P68" s="8" t="str">
        <f t="shared" si="6"/>
        <v/>
      </c>
      <c r="Q68" s="8">
        <f>(B68*Standards!D$15)+Q67</f>
        <v>0.62376098803964775</v>
      </c>
      <c r="R68" s="8">
        <f t="shared" si="5"/>
        <v>0.28000000000000003</v>
      </c>
      <c r="T68" s="59"/>
      <c r="U68" s="59"/>
      <c r="V68" s="59"/>
      <c r="W68" s="59"/>
      <c r="X68" s="59"/>
      <c r="Y68" s="59"/>
      <c r="Z68" s="59"/>
    </row>
    <row r="69" spans="1:26" s="8" customFormat="1" x14ac:dyDescent="0.25">
      <c r="A69" s="35">
        <v>27</v>
      </c>
      <c r="B69" s="34"/>
      <c r="C69" s="50"/>
      <c r="D69" s="53"/>
      <c r="E69" s="16"/>
      <c r="F69" s="13"/>
      <c r="G69" s="40"/>
      <c r="H69" s="6" t="str">
        <f>IF(F69="","",N69-VLOOKUP(F69,Parts!A:F,6,FALSE))</f>
        <v/>
      </c>
      <c r="I69" s="6" t="str">
        <f>IF(F69="","",IF(F69=0,"",H69-(Standards!D$14*L$5)-(Standards!D$15*K$5)))</f>
        <v/>
      </c>
      <c r="J69" s="12" t="str">
        <f>IF(F69="","",VLOOKUP(F69,Parts!A:J,10,FALSE))</f>
        <v/>
      </c>
      <c r="K69" s="12" t="str">
        <f>IF(F69="","",VLOOKUP(F69,Parts!A:N,14,FALSE))</f>
        <v/>
      </c>
      <c r="L69" s="33"/>
      <c r="M69" s="33"/>
      <c r="N69" s="8" t="str">
        <f>IF(F69="","",L$41-Q69-R69)</f>
        <v/>
      </c>
      <c r="O69" s="8">
        <f t="shared" si="4"/>
        <v>3.5000000000000003E-2</v>
      </c>
      <c r="P69" s="8" t="str">
        <f t="shared" si="6"/>
        <v/>
      </c>
      <c r="Q69" s="8">
        <f>(B69*Standards!D$15)+Q68</f>
        <v>0.62376098803964775</v>
      </c>
      <c r="R69" s="8">
        <f t="shared" si="5"/>
        <v>0.28000000000000003</v>
      </c>
      <c r="T69" s="59"/>
      <c r="U69" s="59"/>
      <c r="V69" s="59"/>
      <c r="W69" s="59"/>
      <c r="X69" s="59"/>
      <c r="Y69" s="59"/>
      <c r="Z69" s="59"/>
    </row>
    <row r="70" spans="1:26" s="8" customFormat="1" x14ac:dyDescent="0.25">
      <c r="A70" s="35">
        <v>28</v>
      </c>
      <c r="B70" s="34"/>
      <c r="C70" s="50"/>
      <c r="D70" s="53"/>
      <c r="E70" s="16"/>
      <c r="F70" s="13"/>
      <c r="G70" s="40"/>
      <c r="H70" s="6" t="str">
        <f>IF(F70="","",N70-VLOOKUP(F70,Parts!A:F,6,FALSE))</f>
        <v/>
      </c>
      <c r="I70" s="6" t="str">
        <f>IF(F70="","",IF(F70=0,"",H70-(Standards!D$14*L$5)-(Standards!D$15*K$5)))</f>
        <v/>
      </c>
      <c r="J70" s="12" t="str">
        <f>IF(F70="","",VLOOKUP(F70,Parts!A:J,10,FALSE))</f>
        <v/>
      </c>
      <c r="K70" s="12" t="str">
        <f>IF(F70="","",VLOOKUP(F70,Parts!A:N,14,FALSE))</f>
        <v/>
      </c>
      <c r="L70" s="33"/>
      <c r="M70" s="33"/>
      <c r="N70" s="8" t="str">
        <f>IF(F70="","",L$41-Q70-R70)</f>
        <v/>
      </c>
      <c r="O70" s="8">
        <f t="shared" si="4"/>
        <v>3.5000000000000003E-2</v>
      </c>
      <c r="P70" s="8" t="str">
        <f t="shared" si="6"/>
        <v/>
      </c>
      <c r="Q70" s="8">
        <f>(B70*Standards!D$15)+Q69</f>
        <v>0.62376098803964775</v>
      </c>
      <c r="R70" s="8">
        <f t="shared" si="5"/>
        <v>0.28000000000000003</v>
      </c>
      <c r="T70" s="59"/>
      <c r="U70" s="59"/>
      <c r="V70" s="59"/>
      <c r="W70" s="59"/>
      <c r="X70" s="59"/>
      <c r="Y70" s="59"/>
      <c r="Z70" s="59"/>
    </row>
    <row r="71" spans="1:26" s="8" customFormat="1" x14ac:dyDescent="0.25">
      <c r="A71" s="35">
        <v>29</v>
      </c>
      <c r="B71" s="34"/>
      <c r="C71" s="50"/>
      <c r="D71" s="53"/>
      <c r="E71" s="16"/>
      <c r="F71" s="13"/>
      <c r="G71" s="40"/>
      <c r="H71" s="6" t="str">
        <f>IF(F71="","",N71-VLOOKUP(F71,Parts!A:F,6,FALSE))</f>
        <v/>
      </c>
      <c r="I71" s="6" t="str">
        <f>IF(F71="","",IF(F71=0,"",H71-(Standards!D$14*L$5)-(Standards!D$15*K$5)))</f>
        <v/>
      </c>
      <c r="J71" s="12" t="str">
        <f>IF(F71="","",VLOOKUP(F71,Parts!A:J,10,FALSE))</f>
        <v/>
      </c>
      <c r="K71" s="12" t="str">
        <f>IF(F71="","",VLOOKUP(F71,Parts!A:N,14,FALSE))</f>
        <v/>
      </c>
      <c r="L71" s="33"/>
      <c r="M71" s="33"/>
      <c r="N71" s="8" t="str">
        <f>IF(F71="","",L$41-Q71-R71)</f>
        <v/>
      </c>
      <c r="O71" s="8">
        <f t="shared" si="4"/>
        <v>3.5000000000000003E-2</v>
      </c>
      <c r="P71" s="8" t="str">
        <f t="shared" si="6"/>
        <v/>
      </c>
      <c r="Q71" s="8">
        <f>(B71*Standards!D$15)+Q70</f>
        <v>0.62376098803964775</v>
      </c>
      <c r="R71" s="8">
        <f t="shared" si="5"/>
        <v>0.28000000000000003</v>
      </c>
      <c r="T71" s="59"/>
      <c r="U71" s="59"/>
      <c r="V71" s="59"/>
      <c r="W71" s="59"/>
      <c r="X71" s="59"/>
      <c r="Y71" s="59"/>
      <c r="Z71" s="59"/>
    </row>
    <row r="72" spans="1:26" s="8" customFormat="1" x14ac:dyDescent="0.25">
      <c r="A72" s="35">
        <v>30</v>
      </c>
      <c r="B72" s="34"/>
      <c r="C72" s="50"/>
      <c r="D72" s="53"/>
      <c r="E72" s="16"/>
      <c r="F72" s="13"/>
      <c r="G72" s="40"/>
      <c r="H72" s="6" t="str">
        <f>IF(F72="","",N72-VLOOKUP(F72,Parts!A:F,6,FALSE))</f>
        <v/>
      </c>
      <c r="I72" s="6" t="str">
        <f>IF(F72="","",IF(F72=0,"",H72-(Standards!D$14*L$5)-(Standards!D$15*K$5)))</f>
        <v/>
      </c>
      <c r="J72" s="12" t="str">
        <f>IF(F72="","",VLOOKUP(F72,Parts!A:J,10,FALSE))</f>
        <v/>
      </c>
      <c r="K72" s="12" t="str">
        <f>IF(F72="","",VLOOKUP(F72,Parts!A:N,14,FALSE))</f>
        <v/>
      </c>
      <c r="L72" s="33"/>
      <c r="M72" s="33"/>
      <c r="N72" s="8" t="str">
        <f>IF(F72="","",L$41-Q72-R72)</f>
        <v/>
      </c>
      <c r="O72" s="8">
        <f t="shared" si="4"/>
        <v>3.5000000000000003E-2</v>
      </c>
      <c r="P72" s="8" t="str">
        <f t="shared" si="6"/>
        <v/>
      </c>
      <c r="Q72" s="8">
        <f>(B72*Standards!D$15)+Q71</f>
        <v>0.62376098803964775</v>
      </c>
      <c r="R72" s="8">
        <f t="shared" si="5"/>
        <v>0.28000000000000003</v>
      </c>
      <c r="T72" s="59"/>
      <c r="U72" s="59"/>
      <c r="V72" s="59"/>
      <c r="W72" s="59"/>
      <c r="X72" s="59"/>
      <c r="Y72" s="59"/>
      <c r="Z72" s="59"/>
    </row>
    <row r="74" spans="1:26" ht="18.75" x14ac:dyDescent="0.3">
      <c r="A74" s="94" t="s">
        <v>195</v>
      </c>
      <c r="C74" s="96" t="s">
        <v>191</v>
      </c>
      <c r="K74" s="93" t="s">
        <v>190</v>
      </c>
      <c r="L74" s="95">
        <f>P46</f>
        <v>-11.205016276319478</v>
      </c>
    </row>
    <row r="75" spans="1:26" s="7" customFormat="1" ht="40.5" customHeight="1" x14ac:dyDescent="0.25">
      <c r="A75" s="20" t="s">
        <v>151</v>
      </c>
      <c r="B75" s="21" t="s">
        <v>152</v>
      </c>
      <c r="C75" s="21" t="s">
        <v>153</v>
      </c>
      <c r="D75" s="19" t="s">
        <v>154</v>
      </c>
      <c r="E75" s="19" t="s">
        <v>155</v>
      </c>
      <c r="F75" s="19" t="s">
        <v>156</v>
      </c>
      <c r="G75" s="19" t="s">
        <v>157</v>
      </c>
      <c r="H75" s="19" t="s">
        <v>158</v>
      </c>
      <c r="I75" s="19" t="s">
        <v>159</v>
      </c>
      <c r="J75" s="19" t="s">
        <v>87</v>
      </c>
      <c r="K75" s="20" t="s">
        <v>160</v>
      </c>
      <c r="L75" s="19" t="s">
        <v>161</v>
      </c>
      <c r="M75" s="20" t="s">
        <v>162</v>
      </c>
      <c r="N75" s="8" t="s">
        <v>163</v>
      </c>
      <c r="O75" s="8" t="s">
        <v>164</v>
      </c>
      <c r="P75" s="8" t="s">
        <v>165</v>
      </c>
      <c r="Q75" s="8">
        <f>Q46</f>
        <v>0.58220455736945353</v>
      </c>
      <c r="R75" s="8">
        <f>R46</f>
        <v>0.24500000000000002</v>
      </c>
      <c r="S75" s="36"/>
      <c r="T75" s="61"/>
      <c r="U75" s="61"/>
      <c r="V75" s="61"/>
      <c r="W75" s="61"/>
      <c r="X75" s="61"/>
      <c r="Y75" s="61"/>
      <c r="Z75" s="61"/>
    </row>
    <row r="76" spans="1:26" x14ac:dyDescent="0.25">
      <c r="A76" s="35">
        <v>1</v>
      </c>
      <c r="B76" s="34">
        <f>519+100</f>
        <v>619</v>
      </c>
      <c r="C76" s="50" t="s">
        <v>220</v>
      </c>
      <c r="D76" s="90" t="s">
        <v>224</v>
      </c>
      <c r="E76" s="18" t="s">
        <v>91</v>
      </c>
      <c r="F76" s="13">
        <v>4</v>
      </c>
      <c r="G76" s="40"/>
      <c r="H76" s="6">
        <f>IF(F76="","",N76-VLOOKUP(F76,Parts!A:F,6,FALSE))</f>
        <v>-19.371369039636189</v>
      </c>
      <c r="I76" s="6">
        <f>IF(F76="","",IF(F76=0,"",H76-(Standards!D$14*L$5)-(Standards!D$15*K$5)))</f>
        <v>-19.726817034661853</v>
      </c>
      <c r="J76" s="12" t="str">
        <f>IF(F76="","",VLOOKUP(F76,Parts!A:J,10,FALSE))</f>
        <v>USBM1X4</v>
      </c>
      <c r="K76" s="12" t="str">
        <f>IF(F76="","",VLOOKUP(F76,Parts!A:N,14,FALSE))</f>
        <v>PLO-U-104-SCA-SCA</v>
      </c>
      <c r="L76" s="33" t="s">
        <v>322</v>
      </c>
      <c r="M76" s="33" t="s">
        <v>323</v>
      </c>
      <c r="N76" s="8">
        <f>IF(F76="","",L$74-Q76-R76)</f>
        <v>-12.131369039636189</v>
      </c>
      <c r="O76" s="8">
        <f t="shared" ref="O76:O100" si="7">VLOOKUP(H$5,Losses,3,FALSE)</f>
        <v>3.5000000000000003E-2</v>
      </c>
      <c r="P76" s="8">
        <f>IF(F76="","",N76-O76)</f>
        <v>-12.166369039636189</v>
      </c>
      <c r="Q76" s="8">
        <f>(B76*Standards!D$15)+Q75</f>
        <v>0.64635276331671088</v>
      </c>
      <c r="R76" s="8">
        <f t="shared" ref="R76:R100" si="8">IF(F76&lt;&gt;"",VLOOKUP(H$5,Losses,3,FALSE)+R75,R75)</f>
        <v>0.28000000000000003</v>
      </c>
    </row>
    <row r="77" spans="1:26" x14ac:dyDescent="0.25">
      <c r="A77" s="35">
        <v>2</v>
      </c>
      <c r="B77" s="34"/>
      <c r="C77" s="50"/>
      <c r="D77" s="51"/>
      <c r="E77" s="16"/>
      <c r="F77" s="13"/>
      <c r="G77" s="55"/>
      <c r="H77" s="6" t="str">
        <f>IF(F77="","",N77-VLOOKUP(F77,Parts!A:F,6,FALSE))</f>
        <v/>
      </c>
      <c r="I77" s="6" t="str">
        <f>IF(F77="","",IF(F77=0,"",H77-(Standards!D$14*L$5)-(Standards!D$15*K$5)))</f>
        <v/>
      </c>
      <c r="J77" s="12" t="str">
        <f>IF(F77="","",VLOOKUP(F77,Parts!A:J,10,FALSE))</f>
        <v/>
      </c>
      <c r="K77" s="12" t="str">
        <f>IF(F77="","",VLOOKUP(F77,Parts!A:N,14,FALSE))</f>
        <v/>
      </c>
      <c r="L77" s="33"/>
      <c r="M77" s="33"/>
      <c r="N77" s="8" t="str">
        <f>IF(F77="","",L$74-Q77-R77)</f>
        <v/>
      </c>
      <c r="O77" s="8">
        <f t="shared" si="7"/>
        <v>3.5000000000000003E-2</v>
      </c>
      <c r="P77" s="8" t="str">
        <f t="shared" ref="P77:P100" si="9">IF(F77="","",N77-O77)</f>
        <v/>
      </c>
      <c r="Q77" s="8">
        <f>(B77*Standards!D$15)+Q76</f>
        <v>0.64635276331671088</v>
      </c>
      <c r="R77" s="8">
        <f t="shared" si="8"/>
        <v>0.28000000000000003</v>
      </c>
    </row>
    <row r="78" spans="1:26" x14ac:dyDescent="0.25">
      <c r="A78" s="35">
        <v>3</v>
      </c>
      <c r="B78" s="34"/>
      <c r="C78" s="50"/>
      <c r="D78" s="51"/>
      <c r="E78" s="17"/>
      <c r="F78" s="13"/>
      <c r="G78" s="40"/>
      <c r="H78" s="6" t="str">
        <f>IF(F78="","",N78-VLOOKUP(F78,Parts!A:F,6,FALSE))</f>
        <v/>
      </c>
      <c r="I78" s="6" t="str">
        <f>IF(F78="","",IF(F78=0,"",H78-(Standards!D$14*L$5)-(Standards!D$15*K$5)))</f>
        <v/>
      </c>
      <c r="J78" s="12" t="str">
        <f>IF(F78="","",VLOOKUP(F78,Parts!A:J,10,FALSE))</f>
        <v/>
      </c>
      <c r="K78" s="12" t="str">
        <f>IF(F78="","",VLOOKUP(F78,Parts!A:N,14,FALSE))</f>
        <v/>
      </c>
      <c r="L78" s="33"/>
      <c r="M78" s="33"/>
      <c r="N78" s="8" t="str">
        <f>IF(F78="","",L$74-Q78-R78)</f>
        <v/>
      </c>
      <c r="O78" s="8">
        <f t="shared" si="7"/>
        <v>3.5000000000000003E-2</v>
      </c>
      <c r="P78" s="8" t="str">
        <f t="shared" si="9"/>
        <v/>
      </c>
      <c r="Q78" s="8">
        <f>(B78*Standards!D$15)+Q77</f>
        <v>0.64635276331671088</v>
      </c>
      <c r="R78" s="8">
        <f t="shared" si="8"/>
        <v>0.28000000000000003</v>
      </c>
    </row>
    <row r="79" spans="1:26" x14ac:dyDescent="0.25">
      <c r="A79" s="35">
        <v>4</v>
      </c>
      <c r="B79" s="34"/>
      <c r="C79" s="50"/>
      <c r="D79" s="51"/>
      <c r="E79" s="16"/>
      <c r="F79" s="13"/>
      <c r="G79" s="56"/>
      <c r="H79" s="6" t="str">
        <f>IF(F79="","",N79-VLOOKUP(F79,Parts!A:F,6,FALSE))</f>
        <v/>
      </c>
      <c r="I79" s="6" t="str">
        <f>IF(F79="","",IF(F79=0,"",H79-(Standards!D$14*L$5)-(Standards!D$15*K$5)))</f>
        <v/>
      </c>
      <c r="J79" s="12" t="str">
        <f>IF(F79="","",VLOOKUP(F79,Parts!A:J,10,FALSE))</f>
        <v/>
      </c>
      <c r="K79" s="12" t="str">
        <f>IF(F79="","",VLOOKUP(F79,Parts!A:N,14,FALSE))</f>
        <v/>
      </c>
      <c r="L79" s="33"/>
      <c r="M79" s="33"/>
      <c r="N79" s="8" t="str">
        <f>IF(F79="","",L$74-Q79-R79)</f>
        <v/>
      </c>
      <c r="O79" s="8">
        <f t="shared" si="7"/>
        <v>3.5000000000000003E-2</v>
      </c>
      <c r="P79" s="8" t="str">
        <f t="shared" si="9"/>
        <v/>
      </c>
      <c r="Q79" s="8">
        <f>(B79*Standards!D$15)+Q78</f>
        <v>0.64635276331671088</v>
      </c>
      <c r="R79" s="8">
        <f t="shared" si="8"/>
        <v>0.28000000000000003</v>
      </c>
    </row>
    <row r="80" spans="1:26" x14ac:dyDescent="0.25">
      <c r="A80" s="35">
        <v>5</v>
      </c>
      <c r="B80" s="34"/>
      <c r="C80" s="50"/>
      <c r="D80" s="51"/>
      <c r="E80" s="16"/>
      <c r="F80" s="13"/>
      <c r="G80" s="55"/>
      <c r="H80" s="6" t="str">
        <f>IF(F80="","",N80-VLOOKUP(F80,Parts!A:F,6,FALSE))</f>
        <v/>
      </c>
      <c r="I80" s="6" t="str">
        <f>IF(F80="","",IF(F80=0,"",H80-(Standards!D$14*L$5)-(Standards!D$15*K$5)))</f>
        <v/>
      </c>
      <c r="J80" s="12" t="str">
        <f>IF(F80="","",VLOOKUP(F80,Parts!A:J,10,FALSE))</f>
        <v/>
      </c>
      <c r="K80" s="12" t="str">
        <f>IF(F80="","",VLOOKUP(F80,Parts!A:N,14,FALSE))</f>
        <v/>
      </c>
      <c r="L80" s="33"/>
      <c r="M80" s="33"/>
      <c r="N80" s="8" t="str">
        <f>IF(F80="","",L$74-Q80-R80)</f>
        <v/>
      </c>
      <c r="O80" s="8">
        <f t="shared" si="7"/>
        <v>3.5000000000000003E-2</v>
      </c>
      <c r="P80" s="8" t="str">
        <f t="shared" si="9"/>
        <v/>
      </c>
      <c r="Q80" s="8">
        <f>(B80*Standards!D$15)+Q79</f>
        <v>0.64635276331671088</v>
      </c>
      <c r="R80" s="8">
        <f t="shared" si="8"/>
        <v>0.28000000000000003</v>
      </c>
    </row>
    <row r="81" spans="1:26" x14ac:dyDescent="0.25">
      <c r="A81" s="35">
        <v>6</v>
      </c>
      <c r="B81" s="34"/>
      <c r="C81" s="50"/>
      <c r="D81" s="51"/>
      <c r="E81" s="16"/>
      <c r="F81" s="13"/>
      <c r="G81" s="56"/>
      <c r="H81" s="6" t="str">
        <f>IF(F81="","",N81-VLOOKUP(F81,Parts!A:F,6,FALSE))</f>
        <v/>
      </c>
      <c r="I81" s="6" t="str">
        <f>IF(F81="","",IF(F81=0,"",H81-(Standards!D$14*L$5)-(Standards!D$15*K$5)))</f>
        <v/>
      </c>
      <c r="J81" s="12" t="str">
        <f>IF(F81="","",VLOOKUP(F81,Parts!A:J,10,FALSE))</f>
        <v/>
      </c>
      <c r="K81" s="12" t="str">
        <f>IF(F81="","",VLOOKUP(F81,Parts!A:N,14,FALSE))</f>
        <v/>
      </c>
      <c r="L81" s="33"/>
      <c r="M81" s="33"/>
      <c r="N81" s="8" t="str">
        <f>IF(F81="","",L$74-Q81-R81)</f>
        <v/>
      </c>
      <c r="O81" s="8">
        <f t="shared" si="7"/>
        <v>3.5000000000000003E-2</v>
      </c>
      <c r="P81" s="8" t="str">
        <f t="shared" si="9"/>
        <v/>
      </c>
      <c r="Q81" s="8">
        <f>(B81*Standards!D$15)+Q80</f>
        <v>0.64635276331671088</v>
      </c>
      <c r="R81" s="8">
        <f t="shared" si="8"/>
        <v>0.28000000000000003</v>
      </c>
    </row>
    <row r="82" spans="1:26" x14ac:dyDescent="0.25">
      <c r="A82" s="35">
        <v>7</v>
      </c>
      <c r="B82" s="34"/>
      <c r="C82" s="50"/>
      <c r="D82" s="51"/>
      <c r="E82" s="16"/>
      <c r="F82" s="13"/>
      <c r="G82" s="56"/>
      <c r="H82" s="6" t="str">
        <f>IF(F82="","",N82-VLOOKUP(F82,Parts!A:F,6,FALSE))</f>
        <v/>
      </c>
      <c r="I82" s="6" t="str">
        <f>IF(F82="","",IF(F82=0,"",H82-(Standards!D$14*L$5)-(Standards!D$15*K$5)))</f>
        <v/>
      </c>
      <c r="J82" s="12" t="str">
        <f>IF(F82="","",VLOOKUP(F82,Parts!A:J,10,FALSE))</f>
        <v/>
      </c>
      <c r="K82" s="12" t="str">
        <f>IF(F82="","",VLOOKUP(F82,Parts!A:N,14,FALSE))</f>
        <v/>
      </c>
      <c r="L82" s="33"/>
      <c r="M82" s="33"/>
      <c r="N82" s="8" t="str">
        <f>IF(F82="","",L$74-Q82-R82)</f>
        <v/>
      </c>
      <c r="O82" s="8">
        <f t="shared" si="7"/>
        <v>3.5000000000000003E-2</v>
      </c>
      <c r="P82" s="8" t="str">
        <f t="shared" si="9"/>
        <v/>
      </c>
      <c r="Q82" s="8">
        <f>(B82*Standards!D$15)+Q81</f>
        <v>0.64635276331671088</v>
      </c>
      <c r="R82" s="8">
        <f t="shared" si="8"/>
        <v>0.28000000000000003</v>
      </c>
    </row>
    <row r="83" spans="1:26" x14ac:dyDescent="0.25">
      <c r="A83" s="35">
        <v>8</v>
      </c>
      <c r="B83" s="34"/>
      <c r="C83" s="50"/>
      <c r="D83" s="51"/>
      <c r="E83" s="16"/>
      <c r="F83" s="13"/>
      <c r="G83" s="40"/>
      <c r="H83" s="6" t="str">
        <f>IF(F83="","",N83-VLOOKUP(F83,Parts!A:F,6,FALSE))</f>
        <v/>
      </c>
      <c r="I83" s="6" t="str">
        <f>IF(F83="","",IF(F83=0,"",H83-(Standards!D$14*L$5)-(Standards!D$15*K$5)))</f>
        <v/>
      </c>
      <c r="J83" s="12" t="str">
        <f>IF(F83="","",VLOOKUP(F83,Parts!A:J,10,FALSE))</f>
        <v/>
      </c>
      <c r="K83" s="12" t="str">
        <f>IF(F83="","",VLOOKUP(F83,Parts!A:N,14,FALSE))</f>
        <v/>
      </c>
      <c r="L83" s="33"/>
      <c r="M83" s="33"/>
      <c r="N83" s="8" t="str">
        <f>IF(F83="","",L$74-Q83-R83)</f>
        <v/>
      </c>
      <c r="O83" s="8">
        <f t="shared" si="7"/>
        <v>3.5000000000000003E-2</v>
      </c>
      <c r="P83" s="8" t="str">
        <f t="shared" si="9"/>
        <v/>
      </c>
      <c r="Q83" s="8">
        <f>(B83*Standards!D$15)+Q82</f>
        <v>0.64635276331671088</v>
      </c>
      <c r="R83" s="8">
        <f t="shared" si="8"/>
        <v>0.28000000000000003</v>
      </c>
    </row>
    <row r="84" spans="1:26" x14ac:dyDescent="0.25">
      <c r="A84" s="35">
        <v>9</v>
      </c>
      <c r="B84" s="34"/>
      <c r="C84" s="50"/>
      <c r="D84" s="52"/>
      <c r="E84" s="17"/>
      <c r="F84" s="13"/>
      <c r="G84" s="40"/>
      <c r="H84" s="6" t="str">
        <f>IF(F84="","",N84-VLOOKUP(F84,Parts!A:F,6,FALSE))</f>
        <v/>
      </c>
      <c r="I84" s="6" t="str">
        <f>IF(F84="","",IF(F84=0,"",H84-(Standards!D$14*L$5)-(Standards!D$15*K$5)))</f>
        <v/>
      </c>
      <c r="J84" s="12" t="str">
        <f>IF(F84="","",VLOOKUP(F84,Parts!A:J,10,FALSE))</f>
        <v/>
      </c>
      <c r="K84" s="12" t="str">
        <f>IF(F84="","",VLOOKUP(F84,Parts!A:N,14,FALSE))</f>
        <v/>
      </c>
      <c r="L84" s="33"/>
      <c r="M84" s="33"/>
      <c r="N84" s="8" t="str">
        <f>IF(F84="","",L$74-Q84-R84)</f>
        <v/>
      </c>
      <c r="O84" s="8">
        <f t="shared" si="7"/>
        <v>3.5000000000000003E-2</v>
      </c>
      <c r="P84" s="8" t="str">
        <f t="shared" si="9"/>
        <v/>
      </c>
      <c r="Q84" s="8">
        <f>(B84*Standards!D$15)+Q83</f>
        <v>0.64635276331671088</v>
      </c>
      <c r="R84" s="8">
        <f t="shared" si="8"/>
        <v>0.28000000000000003</v>
      </c>
    </row>
    <row r="85" spans="1:26" s="8" customFormat="1" x14ac:dyDescent="0.25">
      <c r="A85" s="35">
        <v>10</v>
      </c>
      <c r="B85" s="34"/>
      <c r="C85" s="50"/>
      <c r="D85" s="52"/>
      <c r="E85" s="17"/>
      <c r="F85" s="13"/>
      <c r="G85" s="40"/>
      <c r="H85" s="6" t="str">
        <f>IF(F85="","",N85-VLOOKUP(F85,Parts!A:F,6,FALSE))</f>
        <v/>
      </c>
      <c r="I85" s="6" t="str">
        <f>IF(F85="","",IF(F85=0,"",H85-(Standards!D$14*L$5)-(Standards!D$15*K$5)))</f>
        <v/>
      </c>
      <c r="J85" s="12" t="str">
        <f>IF(F85="","",VLOOKUP(F85,Parts!A:J,10,FALSE))</f>
        <v/>
      </c>
      <c r="K85" s="12" t="str">
        <f>IF(F85="","",VLOOKUP(F85,Parts!A:N,14,FALSE))</f>
        <v/>
      </c>
      <c r="L85" s="33"/>
      <c r="M85" s="33"/>
      <c r="N85" s="8" t="str">
        <f>IF(F85="","",L$74-Q85-R85)</f>
        <v/>
      </c>
      <c r="O85" s="8">
        <f t="shared" si="7"/>
        <v>3.5000000000000003E-2</v>
      </c>
      <c r="P85" s="8" t="str">
        <f t="shared" si="9"/>
        <v/>
      </c>
      <c r="Q85" s="8">
        <f>(B85*Standards!D$15)+Q84</f>
        <v>0.64635276331671088</v>
      </c>
      <c r="R85" s="8">
        <f t="shared" si="8"/>
        <v>0.28000000000000003</v>
      </c>
      <c r="T85" s="59"/>
      <c r="U85" s="59"/>
      <c r="V85" s="59"/>
      <c r="W85" s="59"/>
      <c r="X85" s="59"/>
      <c r="Y85" s="59"/>
      <c r="Z85" s="59"/>
    </row>
    <row r="86" spans="1:26" s="8" customFormat="1" x14ac:dyDescent="0.25">
      <c r="A86" s="35">
        <v>11</v>
      </c>
      <c r="B86" s="34"/>
      <c r="C86" s="50"/>
      <c r="D86" s="51"/>
      <c r="E86" s="18"/>
      <c r="F86" s="13"/>
      <c r="G86" s="40"/>
      <c r="H86" s="6" t="str">
        <f>IF(F86="","",N86-VLOOKUP(F86,Parts!A:F,6,FALSE))</f>
        <v/>
      </c>
      <c r="I86" s="6" t="str">
        <f>IF(F86="","",IF(F86=0,"",H86-(Standards!D$14*L$5)-(Standards!D$15*K$5)))</f>
        <v/>
      </c>
      <c r="J86" s="12" t="str">
        <f>IF(F86="","",VLOOKUP(F86,Parts!A:J,10,FALSE))</f>
        <v/>
      </c>
      <c r="K86" s="12" t="str">
        <f>IF(F86="","",VLOOKUP(F86,Parts!A:N,14,FALSE))</f>
        <v/>
      </c>
      <c r="L86" s="33"/>
      <c r="M86" s="33"/>
      <c r="N86" s="8" t="str">
        <f>IF(F86="","",L$74-Q86-R86)</f>
        <v/>
      </c>
      <c r="O86" s="8">
        <f t="shared" si="7"/>
        <v>3.5000000000000003E-2</v>
      </c>
      <c r="P86" s="8" t="str">
        <f t="shared" si="9"/>
        <v/>
      </c>
      <c r="Q86" s="8">
        <f>(B86*Standards!D$15)+Q85</f>
        <v>0.64635276331671088</v>
      </c>
      <c r="R86" s="8">
        <f t="shared" si="8"/>
        <v>0.28000000000000003</v>
      </c>
      <c r="T86" s="59"/>
      <c r="U86" s="59"/>
      <c r="V86" s="59"/>
      <c r="W86" s="59"/>
      <c r="X86" s="59"/>
      <c r="Y86" s="59"/>
      <c r="Z86" s="59"/>
    </row>
    <row r="87" spans="1:26" s="8" customFormat="1" x14ac:dyDescent="0.25">
      <c r="A87" s="35">
        <v>12</v>
      </c>
      <c r="B87" s="34"/>
      <c r="C87" s="50"/>
      <c r="D87" s="52"/>
      <c r="E87" s="17"/>
      <c r="F87" s="13"/>
      <c r="G87" s="40"/>
      <c r="H87" s="6" t="str">
        <f>IF(F87="","",N87-VLOOKUP(F87,Parts!A:F,6,FALSE))</f>
        <v/>
      </c>
      <c r="I87" s="6" t="str">
        <f>IF(F87="","",IF(F87=0,"",H87-(Standards!D$14*L$5)-(Standards!D$15*K$5)))</f>
        <v/>
      </c>
      <c r="J87" s="12" t="str">
        <f>IF(F87="","",VLOOKUP(F87,Parts!A:J,10,FALSE))</f>
        <v/>
      </c>
      <c r="K87" s="12" t="str">
        <f>IF(F87="","",VLOOKUP(F87,Parts!A:N,14,FALSE))</f>
        <v/>
      </c>
      <c r="L87" s="33"/>
      <c r="M87" s="33"/>
      <c r="N87" s="8" t="str">
        <f>IF(F87="","",L$74-Q87-R87)</f>
        <v/>
      </c>
      <c r="O87" s="8">
        <f t="shared" si="7"/>
        <v>3.5000000000000003E-2</v>
      </c>
      <c r="P87" s="8" t="str">
        <f t="shared" si="9"/>
        <v/>
      </c>
      <c r="Q87" s="8">
        <f>(B87*Standards!D$15)+Q86</f>
        <v>0.64635276331671088</v>
      </c>
      <c r="R87" s="8">
        <f t="shared" si="8"/>
        <v>0.28000000000000003</v>
      </c>
      <c r="T87" s="59"/>
      <c r="U87" s="59"/>
      <c r="V87" s="59"/>
      <c r="W87" s="59"/>
      <c r="X87" s="59"/>
      <c r="Y87" s="59"/>
      <c r="Z87" s="59"/>
    </row>
    <row r="88" spans="1:26" s="8" customFormat="1" x14ac:dyDescent="0.25">
      <c r="A88" s="35">
        <v>13</v>
      </c>
      <c r="B88" s="34"/>
      <c r="C88" s="50"/>
      <c r="D88" s="53"/>
      <c r="E88" s="16"/>
      <c r="F88" s="13"/>
      <c r="G88" s="40"/>
      <c r="H88" s="6" t="str">
        <f>IF(F88="","",N88-VLOOKUP(F88,Parts!A:F,6,FALSE))</f>
        <v/>
      </c>
      <c r="I88" s="6" t="str">
        <f>IF(F88="","",IF(F88=0,"",H88-(Standards!D$14*L$5)-(Standards!D$15*K$5)))</f>
        <v/>
      </c>
      <c r="J88" s="12" t="str">
        <f>IF(F88="","",VLOOKUP(F88,Parts!A:J,10,FALSE))</f>
        <v/>
      </c>
      <c r="K88" s="12" t="str">
        <f>IF(F88="","",VLOOKUP(F88,Parts!A:N,14,FALSE))</f>
        <v/>
      </c>
      <c r="L88" s="33"/>
      <c r="M88" s="33"/>
      <c r="N88" s="8" t="str">
        <f>IF(F88="","",L$74-Q88-R88)</f>
        <v/>
      </c>
      <c r="O88" s="8">
        <f t="shared" si="7"/>
        <v>3.5000000000000003E-2</v>
      </c>
      <c r="P88" s="8" t="str">
        <f t="shared" si="9"/>
        <v/>
      </c>
      <c r="Q88" s="8">
        <f>(B88*Standards!D$15)+Q87</f>
        <v>0.64635276331671088</v>
      </c>
      <c r="R88" s="8">
        <f t="shared" si="8"/>
        <v>0.28000000000000003</v>
      </c>
      <c r="T88" s="59"/>
      <c r="U88" s="59"/>
      <c r="V88" s="59"/>
      <c r="W88" s="59"/>
      <c r="X88" s="59"/>
      <c r="Y88" s="59"/>
      <c r="Z88" s="59"/>
    </row>
    <row r="89" spans="1:26" s="8" customFormat="1" x14ac:dyDescent="0.25">
      <c r="A89" s="35">
        <v>14</v>
      </c>
      <c r="B89" s="34"/>
      <c r="C89" s="50"/>
      <c r="D89" s="53"/>
      <c r="E89" s="16"/>
      <c r="F89" s="13"/>
      <c r="G89" s="40"/>
      <c r="H89" s="6" t="str">
        <f>IF(F89="","",N89-VLOOKUP(F89,Parts!A:F,6,FALSE))</f>
        <v/>
      </c>
      <c r="I89" s="6" t="str">
        <f>IF(F89="","",IF(F89=0,"",H89-(Standards!D$14*L$5)-(Standards!D$15*K$5)))</f>
        <v/>
      </c>
      <c r="J89" s="12" t="str">
        <f>IF(F89="","",VLOOKUP(F89,Parts!A:J,10,FALSE))</f>
        <v/>
      </c>
      <c r="K89" s="12" t="str">
        <f>IF(F89="","",VLOOKUP(F89,Parts!A:N,14,FALSE))</f>
        <v/>
      </c>
      <c r="L89" s="33"/>
      <c r="M89" s="33"/>
      <c r="N89" s="8" t="str">
        <f>IF(F89="","",L$74-Q89-R89)</f>
        <v/>
      </c>
      <c r="O89" s="8">
        <f t="shared" si="7"/>
        <v>3.5000000000000003E-2</v>
      </c>
      <c r="P89" s="8" t="str">
        <f t="shared" si="9"/>
        <v/>
      </c>
      <c r="Q89" s="8">
        <f>(B89*Standards!D$15)+Q88</f>
        <v>0.64635276331671088</v>
      </c>
      <c r="R89" s="8">
        <f t="shared" si="8"/>
        <v>0.28000000000000003</v>
      </c>
      <c r="T89" s="59"/>
      <c r="U89" s="59"/>
      <c r="V89" s="59"/>
      <c r="W89" s="59"/>
      <c r="X89" s="59"/>
      <c r="Y89" s="59"/>
      <c r="Z89" s="59"/>
    </row>
    <row r="90" spans="1:26" s="8" customFormat="1" x14ac:dyDescent="0.25">
      <c r="A90" s="35">
        <v>15</v>
      </c>
      <c r="B90" s="34"/>
      <c r="C90" s="50"/>
      <c r="D90" s="53"/>
      <c r="E90" s="16"/>
      <c r="F90" s="13"/>
      <c r="G90" s="40"/>
      <c r="H90" s="6" t="str">
        <f>IF(F90="","",N90-VLOOKUP(F90,Parts!A:F,6,FALSE))</f>
        <v/>
      </c>
      <c r="I90" s="6" t="str">
        <f>IF(F90="","",IF(F90=0,"",H90-(Standards!D$14*L$5)-(Standards!D$15*K$5)))</f>
        <v/>
      </c>
      <c r="J90" s="12" t="str">
        <f>IF(F90="","",VLOOKUP(F90,Parts!A:J,10,FALSE))</f>
        <v/>
      </c>
      <c r="K90" s="12" t="str">
        <f>IF(F90="","",VLOOKUP(F90,Parts!A:N,14,FALSE))</f>
        <v/>
      </c>
      <c r="L90" s="33"/>
      <c r="M90" s="33"/>
      <c r="N90" s="8" t="str">
        <f>IF(F90="","",L$74-Q90-R90)</f>
        <v/>
      </c>
      <c r="O90" s="8">
        <f t="shared" si="7"/>
        <v>3.5000000000000003E-2</v>
      </c>
      <c r="P90" s="8" t="str">
        <f t="shared" si="9"/>
        <v/>
      </c>
      <c r="Q90" s="8">
        <f>(B90*Standards!D$15)+Q89</f>
        <v>0.64635276331671088</v>
      </c>
      <c r="R90" s="8">
        <f t="shared" si="8"/>
        <v>0.28000000000000003</v>
      </c>
      <c r="T90" s="59"/>
      <c r="U90" s="59"/>
      <c r="V90" s="59"/>
      <c r="W90" s="59"/>
      <c r="X90" s="59"/>
      <c r="Y90" s="59"/>
      <c r="Z90" s="59"/>
    </row>
    <row r="91" spans="1:26" s="8" customFormat="1" x14ac:dyDescent="0.25">
      <c r="A91" s="35">
        <v>16</v>
      </c>
      <c r="B91" s="34"/>
      <c r="C91" s="50"/>
      <c r="D91" s="53"/>
      <c r="E91" s="16"/>
      <c r="F91" s="13"/>
      <c r="G91" s="40"/>
      <c r="H91" s="6" t="str">
        <f>IF(F91="","",N91-VLOOKUP(F91,Parts!A:F,6,FALSE))</f>
        <v/>
      </c>
      <c r="I91" s="6" t="str">
        <f>IF(F91="","",IF(F91=0,"",H91-(Standards!D$14*L$5)-(Standards!D$15*K$5)))</f>
        <v/>
      </c>
      <c r="J91" s="12" t="str">
        <f>IF(F91="","",VLOOKUP(F91,Parts!A:J,10,FALSE))</f>
        <v/>
      </c>
      <c r="K91" s="12" t="str">
        <f>IF(F91="","",VLOOKUP(F91,Parts!A:N,14,FALSE))</f>
        <v/>
      </c>
      <c r="L91" s="33"/>
      <c r="M91" s="33"/>
      <c r="N91" s="8" t="str">
        <f>IF(F91="","",L$74-Q91-R91)</f>
        <v/>
      </c>
      <c r="O91" s="8">
        <f t="shared" si="7"/>
        <v>3.5000000000000003E-2</v>
      </c>
      <c r="P91" s="8" t="str">
        <f t="shared" si="9"/>
        <v/>
      </c>
      <c r="Q91" s="8">
        <f>(B91*Standards!D$15)+Q90</f>
        <v>0.64635276331671088</v>
      </c>
      <c r="R91" s="8">
        <f t="shared" si="8"/>
        <v>0.28000000000000003</v>
      </c>
      <c r="T91" s="59"/>
      <c r="U91" s="59"/>
      <c r="V91" s="59"/>
      <c r="W91" s="59"/>
      <c r="X91" s="59"/>
      <c r="Y91" s="59"/>
      <c r="Z91" s="59"/>
    </row>
    <row r="92" spans="1:26" s="8" customFormat="1" x14ac:dyDescent="0.25">
      <c r="A92" s="35">
        <v>17</v>
      </c>
      <c r="B92" s="34"/>
      <c r="C92" s="50"/>
      <c r="D92" s="53"/>
      <c r="E92" s="16"/>
      <c r="F92" s="13"/>
      <c r="G92" s="40"/>
      <c r="H92" s="6" t="str">
        <f>IF(F92="","",N92-VLOOKUP(F92,Parts!A:F,6,FALSE))</f>
        <v/>
      </c>
      <c r="I92" s="6" t="str">
        <f>IF(F92="","",IF(F92=0,"",H92-(Standards!D$14*L$5)-(Standards!D$15*K$5)))</f>
        <v/>
      </c>
      <c r="J92" s="12" t="str">
        <f>IF(F92="","",VLOOKUP(F92,Parts!A:J,10,FALSE))</f>
        <v/>
      </c>
      <c r="K92" s="12" t="str">
        <f>IF(F92="","",VLOOKUP(F92,Parts!A:N,14,FALSE))</f>
        <v/>
      </c>
      <c r="L92" s="33"/>
      <c r="M92" s="33"/>
      <c r="N92" s="8" t="str">
        <f>IF(F92="","",L$74-Q92-R92)</f>
        <v/>
      </c>
      <c r="O92" s="8">
        <f t="shared" si="7"/>
        <v>3.5000000000000003E-2</v>
      </c>
      <c r="P92" s="8" t="str">
        <f t="shared" si="9"/>
        <v/>
      </c>
      <c r="Q92" s="8">
        <f>(B92*Standards!D$15)+Q91</f>
        <v>0.64635276331671088</v>
      </c>
      <c r="R92" s="8">
        <f t="shared" si="8"/>
        <v>0.28000000000000003</v>
      </c>
      <c r="T92" s="59"/>
      <c r="U92" s="59"/>
      <c r="V92" s="59"/>
      <c r="W92" s="59"/>
      <c r="X92" s="59"/>
      <c r="Y92" s="59"/>
      <c r="Z92" s="59"/>
    </row>
    <row r="93" spans="1:26" s="8" customFormat="1" x14ac:dyDescent="0.25">
      <c r="A93" s="35">
        <v>18</v>
      </c>
      <c r="B93" s="34"/>
      <c r="C93" s="50"/>
      <c r="D93" s="53"/>
      <c r="E93" s="16"/>
      <c r="F93" s="13"/>
      <c r="G93" s="40"/>
      <c r="H93" s="6" t="str">
        <f>IF(F93="","",N93-VLOOKUP(F93,Parts!A:F,6,FALSE))</f>
        <v/>
      </c>
      <c r="I93" s="6" t="str">
        <f>IF(F93="","",IF(F93=0,"",H93-(Standards!D$14*L$5)-(Standards!D$15*K$5)))</f>
        <v/>
      </c>
      <c r="J93" s="12" t="str">
        <f>IF(F93="","",VLOOKUP(F93,Parts!A:J,10,FALSE))</f>
        <v/>
      </c>
      <c r="K93" s="12" t="str">
        <f>IF(F93="","",VLOOKUP(F93,Parts!A:N,14,FALSE))</f>
        <v/>
      </c>
      <c r="L93" s="33"/>
      <c r="M93" s="33"/>
      <c r="N93" s="8" t="str">
        <f>IF(F93="","",L$74-Q93-R93)</f>
        <v/>
      </c>
      <c r="O93" s="8">
        <f t="shared" si="7"/>
        <v>3.5000000000000003E-2</v>
      </c>
      <c r="P93" s="8" t="str">
        <f t="shared" si="9"/>
        <v/>
      </c>
      <c r="Q93" s="8">
        <f>(B93*Standards!D$15)+Q92</f>
        <v>0.64635276331671088</v>
      </c>
      <c r="R93" s="8">
        <f t="shared" si="8"/>
        <v>0.28000000000000003</v>
      </c>
      <c r="T93" s="59"/>
      <c r="U93" s="59"/>
      <c r="V93" s="59"/>
      <c r="W93" s="59"/>
      <c r="X93" s="59"/>
      <c r="Y93" s="59"/>
      <c r="Z93" s="59"/>
    </row>
    <row r="94" spans="1:26" s="8" customFormat="1" x14ac:dyDescent="0.25">
      <c r="A94" s="35">
        <v>19</v>
      </c>
      <c r="B94" s="34"/>
      <c r="C94" s="50"/>
      <c r="D94" s="53"/>
      <c r="E94" s="16"/>
      <c r="F94" s="13"/>
      <c r="G94" s="40"/>
      <c r="H94" s="6" t="str">
        <f>IF(F94="","",N94-VLOOKUP(F94,Parts!A:F,6,FALSE))</f>
        <v/>
      </c>
      <c r="I94" s="6" t="str">
        <f>IF(F94="","",IF(F94=0,"",H94-(Standards!D$14*L$5)-(Standards!D$15*K$5)))</f>
        <v/>
      </c>
      <c r="J94" s="12" t="str">
        <f>IF(F94="","",VLOOKUP(F94,Parts!A:J,10,FALSE))</f>
        <v/>
      </c>
      <c r="K94" s="12" t="str">
        <f>IF(F94="","",VLOOKUP(F94,Parts!A:N,14,FALSE))</f>
        <v/>
      </c>
      <c r="L94" s="33"/>
      <c r="M94" s="33"/>
      <c r="N94" s="8" t="str">
        <f>IF(F94="","",L$74-Q94-R94)</f>
        <v/>
      </c>
      <c r="O94" s="8">
        <f t="shared" si="7"/>
        <v>3.5000000000000003E-2</v>
      </c>
      <c r="P94" s="8" t="str">
        <f t="shared" si="9"/>
        <v/>
      </c>
      <c r="Q94" s="8">
        <f>(B94*Standards!D$15)+Q93</f>
        <v>0.64635276331671088</v>
      </c>
      <c r="R94" s="8">
        <f t="shared" si="8"/>
        <v>0.28000000000000003</v>
      </c>
      <c r="T94" s="59"/>
      <c r="U94" s="59"/>
      <c r="V94" s="59"/>
      <c r="W94" s="59"/>
      <c r="X94" s="59"/>
      <c r="Y94" s="59"/>
      <c r="Z94" s="59"/>
    </row>
    <row r="95" spans="1:26" s="8" customFormat="1" x14ac:dyDescent="0.25">
      <c r="A95" s="35">
        <v>20</v>
      </c>
      <c r="B95" s="34"/>
      <c r="C95" s="50"/>
      <c r="D95" s="53"/>
      <c r="E95" s="16"/>
      <c r="F95" s="13"/>
      <c r="G95" s="40"/>
      <c r="H95" s="6" t="str">
        <f>IF(F95="","",N95-VLOOKUP(F95,Parts!A:F,6,FALSE))</f>
        <v/>
      </c>
      <c r="I95" s="6" t="str">
        <f>IF(F95="","",IF(F95=0,"",H95-(Standards!D$14*L$5)-(Standards!D$15*K$5)))</f>
        <v/>
      </c>
      <c r="J95" s="12" t="str">
        <f>IF(F95="","",VLOOKUP(F95,Parts!A:J,10,FALSE))</f>
        <v/>
      </c>
      <c r="K95" s="12" t="str">
        <f>IF(F95="","",VLOOKUP(F95,Parts!A:N,14,FALSE))</f>
        <v/>
      </c>
      <c r="L95" s="33"/>
      <c r="M95" s="33"/>
      <c r="N95" s="8" t="str">
        <f>IF(F95="","",L$74-Q95-R95)</f>
        <v/>
      </c>
      <c r="O95" s="8">
        <f t="shared" si="7"/>
        <v>3.5000000000000003E-2</v>
      </c>
      <c r="P95" s="8" t="str">
        <f t="shared" si="9"/>
        <v/>
      </c>
      <c r="Q95" s="8">
        <f>(B95*Standards!D$15)+Q94</f>
        <v>0.64635276331671088</v>
      </c>
      <c r="R95" s="8">
        <f t="shared" si="8"/>
        <v>0.28000000000000003</v>
      </c>
      <c r="T95" s="59"/>
      <c r="U95" s="59"/>
      <c r="V95" s="59"/>
      <c r="W95" s="59"/>
      <c r="X95" s="59"/>
      <c r="Y95" s="59"/>
      <c r="Z95" s="59"/>
    </row>
    <row r="96" spans="1:26" s="8" customFormat="1" x14ac:dyDescent="0.25">
      <c r="A96" s="35">
        <v>21</v>
      </c>
      <c r="B96" s="34"/>
      <c r="C96" s="50"/>
      <c r="D96" s="53"/>
      <c r="E96" s="16"/>
      <c r="F96" s="13"/>
      <c r="G96" s="40"/>
      <c r="H96" s="6" t="str">
        <f>IF(F96="","",N96-VLOOKUP(F96,Parts!A:F,6,FALSE))</f>
        <v/>
      </c>
      <c r="I96" s="6" t="str">
        <f>IF(F96="","",IF(F96=0,"",H96-(Standards!D$14*L$5)-(Standards!D$15*K$5)))</f>
        <v/>
      </c>
      <c r="J96" s="12" t="str">
        <f>IF(F96="","",VLOOKUP(F96,Parts!A:J,10,FALSE))</f>
        <v/>
      </c>
      <c r="K96" s="12" t="str">
        <f>IF(F96="","",VLOOKUP(F96,Parts!A:N,14,FALSE))</f>
        <v/>
      </c>
      <c r="L96" s="33"/>
      <c r="M96" s="33"/>
      <c r="N96" s="8" t="str">
        <f>IF(F96="","",L$74-Q96-R96)</f>
        <v/>
      </c>
      <c r="O96" s="8">
        <f t="shared" si="7"/>
        <v>3.5000000000000003E-2</v>
      </c>
      <c r="P96" s="8" t="str">
        <f t="shared" si="9"/>
        <v/>
      </c>
      <c r="Q96" s="8">
        <f>(B96*Standards!D$15)+Q95</f>
        <v>0.64635276331671088</v>
      </c>
      <c r="R96" s="8">
        <f t="shared" si="8"/>
        <v>0.28000000000000003</v>
      </c>
      <c r="T96" s="59"/>
      <c r="U96" s="59"/>
      <c r="V96" s="59"/>
      <c r="W96" s="59"/>
      <c r="X96" s="59"/>
      <c r="Y96" s="59"/>
      <c r="Z96" s="59"/>
    </row>
    <row r="97" spans="1:26" s="8" customFormat="1" x14ac:dyDescent="0.25">
      <c r="A97" s="35">
        <v>22</v>
      </c>
      <c r="B97" s="34"/>
      <c r="C97" s="50"/>
      <c r="D97" s="53"/>
      <c r="E97" s="16"/>
      <c r="F97" s="13"/>
      <c r="G97" s="40"/>
      <c r="H97" s="6" t="str">
        <f>IF(F97="","",N97-VLOOKUP(F97,Parts!A:F,6,FALSE))</f>
        <v/>
      </c>
      <c r="I97" s="6" t="str">
        <f>IF(F97="","",IF(F97=0,"",H97-(Standards!D$14*L$5)-(Standards!D$15*K$5)))</f>
        <v/>
      </c>
      <c r="J97" s="12" t="str">
        <f>IF(F97="","",VLOOKUP(F97,Parts!A:J,10,FALSE))</f>
        <v/>
      </c>
      <c r="K97" s="12" t="str">
        <f>IF(F97="","",VLOOKUP(F97,Parts!A:N,14,FALSE))</f>
        <v/>
      </c>
      <c r="L97" s="33"/>
      <c r="M97" s="33"/>
      <c r="N97" s="8" t="str">
        <f>IF(F97="","",L$74-Q97-R97)</f>
        <v/>
      </c>
      <c r="O97" s="8">
        <f t="shared" si="7"/>
        <v>3.5000000000000003E-2</v>
      </c>
      <c r="P97" s="8" t="str">
        <f t="shared" si="9"/>
        <v/>
      </c>
      <c r="Q97" s="8">
        <f>(B97*Standards!D$15)+Q96</f>
        <v>0.64635276331671088</v>
      </c>
      <c r="R97" s="8">
        <f t="shared" si="8"/>
        <v>0.28000000000000003</v>
      </c>
      <c r="T97" s="59"/>
      <c r="U97" s="59"/>
      <c r="V97" s="59"/>
      <c r="W97" s="59"/>
      <c r="X97" s="59"/>
      <c r="Y97" s="59"/>
      <c r="Z97" s="59"/>
    </row>
    <row r="98" spans="1:26" s="8" customFormat="1" x14ac:dyDescent="0.25">
      <c r="A98" s="35">
        <v>23</v>
      </c>
      <c r="B98" s="34"/>
      <c r="C98" s="50"/>
      <c r="D98" s="53"/>
      <c r="E98" s="16"/>
      <c r="F98" s="13"/>
      <c r="G98" s="40"/>
      <c r="H98" s="6" t="str">
        <f>IF(F98="","",N98-VLOOKUP(F98,Parts!A:F,6,FALSE))</f>
        <v/>
      </c>
      <c r="I98" s="6" t="str">
        <f>IF(F98="","",IF(F98=0,"",H98-(Standards!D$14*L$5)-(Standards!D$15*K$5)))</f>
        <v/>
      </c>
      <c r="J98" s="12" t="str">
        <f>IF(F98="","",VLOOKUP(F98,Parts!A:J,10,FALSE))</f>
        <v/>
      </c>
      <c r="K98" s="12" t="str">
        <f>IF(F98="","",VLOOKUP(F98,Parts!A:N,14,FALSE))</f>
        <v/>
      </c>
      <c r="L98" s="33"/>
      <c r="M98" s="33"/>
      <c r="N98" s="8" t="str">
        <f>IF(F98="","",L$74-Q98-R98)</f>
        <v/>
      </c>
      <c r="O98" s="8">
        <f t="shared" si="7"/>
        <v>3.5000000000000003E-2</v>
      </c>
      <c r="P98" s="8" t="str">
        <f t="shared" si="9"/>
        <v/>
      </c>
      <c r="Q98" s="8">
        <f>(B98*Standards!D$15)+Q97</f>
        <v>0.64635276331671088</v>
      </c>
      <c r="R98" s="8">
        <f t="shared" si="8"/>
        <v>0.28000000000000003</v>
      </c>
      <c r="T98" s="59"/>
      <c r="U98" s="59"/>
      <c r="V98" s="59"/>
      <c r="W98" s="59"/>
      <c r="X98" s="59"/>
      <c r="Y98" s="59"/>
      <c r="Z98" s="59"/>
    </row>
    <row r="99" spans="1:26" s="8" customFormat="1" x14ac:dyDescent="0.25">
      <c r="A99" s="35">
        <v>24</v>
      </c>
      <c r="B99" s="34"/>
      <c r="C99" s="50"/>
      <c r="D99" s="53"/>
      <c r="E99" s="16"/>
      <c r="F99" s="13"/>
      <c r="G99" s="40"/>
      <c r="H99" s="6" t="str">
        <f>IF(F99="","",N99-VLOOKUP(F99,Parts!A:F,6,FALSE))</f>
        <v/>
      </c>
      <c r="I99" s="6" t="str">
        <f>IF(F99="","",IF(F99=0,"",H99-(Standards!D$14*L$5)-(Standards!D$15*K$5)))</f>
        <v/>
      </c>
      <c r="J99" s="12" t="str">
        <f>IF(F99="","",VLOOKUP(F99,Parts!A:J,10,FALSE))</f>
        <v/>
      </c>
      <c r="K99" s="12" t="str">
        <f>IF(F99="","",VLOOKUP(F99,Parts!A:N,14,FALSE))</f>
        <v/>
      </c>
      <c r="L99" s="33"/>
      <c r="M99" s="33"/>
      <c r="N99" s="8" t="str">
        <f>IF(F99="","",L$74-Q99-R99)</f>
        <v/>
      </c>
      <c r="O99" s="8">
        <f t="shared" si="7"/>
        <v>3.5000000000000003E-2</v>
      </c>
      <c r="P99" s="8" t="str">
        <f t="shared" si="9"/>
        <v/>
      </c>
      <c r="Q99" s="8">
        <f>(B99*Standards!D$15)+Q98</f>
        <v>0.64635276331671088</v>
      </c>
      <c r="R99" s="8">
        <f t="shared" si="8"/>
        <v>0.28000000000000003</v>
      </c>
      <c r="T99" s="59"/>
      <c r="U99" s="59"/>
      <c r="V99" s="59"/>
      <c r="W99" s="59"/>
      <c r="X99" s="59"/>
      <c r="Y99" s="59"/>
      <c r="Z99" s="59"/>
    </row>
    <row r="100" spans="1:26" s="8" customFormat="1" x14ac:dyDescent="0.25">
      <c r="A100" s="35">
        <v>25</v>
      </c>
      <c r="B100" s="34"/>
      <c r="C100" s="50"/>
      <c r="D100" s="53"/>
      <c r="E100" s="16"/>
      <c r="F100" s="13"/>
      <c r="G100" s="40"/>
      <c r="H100" s="6" t="str">
        <f>IF(F100="","",N100-VLOOKUP(F100,Parts!A:F,6,FALSE))</f>
        <v/>
      </c>
      <c r="I100" s="6" t="str">
        <f>IF(F100="","",IF(F100=0,"",H100-(Standards!D$14*L$5)-(Standards!D$15*K$5)))</f>
        <v/>
      </c>
      <c r="J100" s="12" t="str">
        <f>IF(F100="","",VLOOKUP(F100,Parts!A:J,10,FALSE))</f>
        <v/>
      </c>
      <c r="K100" s="12" t="str">
        <f>IF(F100="","",VLOOKUP(F100,Parts!A:N,14,FALSE))</f>
        <v/>
      </c>
      <c r="L100" s="33"/>
      <c r="M100" s="33"/>
      <c r="N100" s="8" t="str">
        <f>IF(F100="","",L$74-Q100-R100)</f>
        <v/>
      </c>
      <c r="O100" s="8">
        <f t="shared" si="7"/>
        <v>3.5000000000000003E-2</v>
      </c>
      <c r="P100" s="8" t="str">
        <f t="shared" si="9"/>
        <v/>
      </c>
      <c r="Q100" s="8">
        <f>(B100*Standards!D$15)+Q99</f>
        <v>0.64635276331671088</v>
      </c>
      <c r="R100" s="8">
        <f t="shared" si="8"/>
        <v>0.28000000000000003</v>
      </c>
      <c r="T100" s="59"/>
      <c r="U100" s="59"/>
      <c r="V100" s="59"/>
      <c r="W100" s="59"/>
      <c r="X100" s="59"/>
      <c r="Y100" s="59"/>
      <c r="Z100" s="59"/>
    </row>
    <row r="102" spans="1:26" ht="18.75" x14ac:dyDescent="0.3">
      <c r="A102" s="94" t="s">
        <v>212</v>
      </c>
      <c r="C102" s="96" t="s">
        <v>191</v>
      </c>
      <c r="K102" s="93" t="s">
        <v>190</v>
      </c>
      <c r="L102" s="95">
        <f>P13</f>
        <v>-10.886796856902501</v>
      </c>
    </row>
    <row r="103" spans="1:26" s="7" customFormat="1" ht="40.5" customHeight="1" x14ac:dyDescent="0.25">
      <c r="A103" s="20" t="s">
        <v>151</v>
      </c>
      <c r="B103" s="21" t="s">
        <v>152</v>
      </c>
      <c r="C103" s="21" t="s">
        <v>153</v>
      </c>
      <c r="D103" s="19" t="s">
        <v>154</v>
      </c>
      <c r="E103" s="19" t="s">
        <v>155</v>
      </c>
      <c r="F103" s="19" t="s">
        <v>156</v>
      </c>
      <c r="G103" s="19" t="s">
        <v>157</v>
      </c>
      <c r="H103" s="19" t="s">
        <v>158</v>
      </c>
      <c r="I103" s="19" t="s">
        <v>159</v>
      </c>
      <c r="J103" s="19" t="s">
        <v>87</v>
      </c>
      <c r="K103" s="20" t="s">
        <v>160</v>
      </c>
      <c r="L103" s="19" t="s">
        <v>161</v>
      </c>
      <c r="M103" s="20" t="s">
        <v>162</v>
      </c>
      <c r="N103" s="8" t="s">
        <v>163</v>
      </c>
      <c r="O103" s="8" t="s">
        <v>164</v>
      </c>
      <c r="P103" s="8" t="s">
        <v>165</v>
      </c>
      <c r="Q103" s="8">
        <f>Q13</f>
        <v>0.70107045756574449</v>
      </c>
      <c r="R103" s="8">
        <f>R13</f>
        <v>0.21000000000000002</v>
      </c>
      <c r="S103" s="36"/>
      <c r="T103" s="61"/>
      <c r="U103" s="61"/>
      <c r="V103" s="61"/>
      <c r="W103" s="61"/>
      <c r="X103" s="61"/>
      <c r="Y103" s="61"/>
      <c r="Z103" s="61"/>
    </row>
    <row r="104" spans="1:26" x14ac:dyDescent="0.25">
      <c r="A104" s="35">
        <v>1</v>
      </c>
      <c r="B104" s="34">
        <f>439+100</f>
        <v>539</v>
      </c>
      <c r="C104" s="50" t="s">
        <v>228</v>
      </c>
      <c r="D104" s="90" t="s">
        <v>179</v>
      </c>
      <c r="E104" s="18" t="s">
        <v>91</v>
      </c>
      <c r="F104" s="13">
        <v>4</v>
      </c>
      <c r="G104" s="40"/>
      <c r="H104" s="6">
        <f>IF(F104="","",N104-VLOOKUP(F104,Parts!A:F,6,FALSE))</f>
        <v>-19.128724960680799</v>
      </c>
      <c r="I104" s="6">
        <f>IF(F104="","",IF(F104=0,"",H104-(Standards!D$14*L$5)-(Standards!D$15*K$5)))</f>
        <v>-19.484172955706462</v>
      </c>
      <c r="J104" s="12" t="str">
        <f>IF(F104="","",VLOOKUP(F104,Parts!A:J,10,FALSE))</f>
        <v>USBM1X4</v>
      </c>
      <c r="K104" s="12" t="str">
        <f>IF(F104="","",VLOOKUP(F104,Parts!A:N,14,FALSE))</f>
        <v>PLO-U-104-SCA-SCA</v>
      </c>
      <c r="L104" s="33" t="s">
        <v>326</v>
      </c>
      <c r="M104" s="33" t="s">
        <v>327</v>
      </c>
      <c r="N104" s="8">
        <f>IF(F104="","",L$102-Q104-R104)</f>
        <v>-11.888724960680801</v>
      </c>
      <c r="O104" s="8">
        <f t="shared" ref="O104:O124" si="10">VLOOKUP(H$5,Losses,3,FALSE)</f>
        <v>3.5000000000000003E-2</v>
      </c>
      <c r="P104" s="8">
        <f>IF(F104="","",N104-O104)</f>
        <v>-11.923724960680801</v>
      </c>
      <c r="Q104" s="8">
        <f>(B104*Standards!D$15)+Q103</f>
        <v>0.75692810377829978</v>
      </c>
      <c r="R104" s="8">
        <f t="shared" ref="R104:R124" si="11">IF(F104&lt;&gt;"",VLOOKUP(H$5,Losses,3,FALSE)+R103,R103)</f>
        <v>0.24500000000000002</v>
      </c>
    </row>
    <row r="105" spans="1:26" x14ac:dyDescent="0.25">
      <c r="A105" s="35">
        <v>2</v>
      </c>
      <c r="B105" s="34">
        <f>515+100</f>
        <v>615</v>
      </c>
      <c r="C105" s="50" t="s">
        <v>228</v>
      </c>
      <c r="D105" s="90" t="s">
        <v>221</v>
      </c>
      <c r="E105" s="16" t="s">
        <v>91</v>
      </c>
      <c r="F105" s="13">
        <v>4</v>
      </c>
      <c r="G105" s="55"/>
      <c r="H105" s="6">
        <f>IF(F105="","",N105-VLOOKUP(F105,Parts!A:F,6,FALSE))</f>
        <v>-19.227458638641323</v>
      </c>
      <c r="I105" s="6">
        <f>IF(F105="","",IF(F105=0,"",H105-(Standards!D$14*L$5)-(Standards!D$15*K$5)))</f>
        <v>-19.582906633666987</v>
      </c>
      <c r="J105" s="12" t="str">
        <f>IF(F105="","",VLOOKUP(F105,Parts!A:J,10,FALSE))</f>
        <v>USBM1X4</v>
      </c>
      <c r="K105" s="12" t="str">
        <f>IF(F105="","",VLOOKUP(F105,Parts!A:N,14,FALSE))</f>
        <v>PLO-U-104-SCA-SCA</v>
      </c>
      <c r="L105" s="33" t="s">
        <v>328</v>
      </c>
      <c r="M105" s="33" t="s">
        <v>329</v>
      </c>
      <c r="N105" s="8">
        <f>IF(F105="","",L$102-Q105-R105)</f>
        <v>-11.987458638641323</v>
      </c>
      <c r="O105" s="8">
        <f t="shared" si="10"/>
        <v>3.5000000000000003E-2</v>
      </c>
      <c r="P105" s="8">
        <f t="shared" ref="P105:P124" si="12">IF(F105="","",N105-O105)</f>
        <v>-12.022458638641323</v>
      </c>
      <c r="Q105" s="8">
        <f>(B105*Standards!D$15)+Q104</f>
        <v>0.82066178173882198</v>
      </c>
      <c r="R105" s="8">
        <f t="shared" si="11"/>
        <v>0.28000000000000003</v>
      </c>
    </row>
    <row r="106" spans="1:26" x14ac:dyDescent="0.25">
      <c r="A106" s="35">
        <v>3</v>
      </c>
      <c r="B106" s="34">
        <f>406+100</f>
        <v>506</v>
      </c>
      <c r="C106" s="50">
        <f>1096</f>
        <v>1096</v>
      </c>
      <c r="D106" s="90" t="s">
        <v>203</v>
      </c>
      <c r="E106" s="17" t="s">
        <v>91</v>
      </c>
      <c r="F106" s="13">
        <v>8</v>
      </c>
      <c r="G106" s="40"/>
      <c r="H106" s="6">
        <f>IF(F106="","",N106-VLOOKUP(F106,Parts!A:F,6,FALSE))</f>
        <v>-22.714896428963314</v>
      </c>
      <c r="I106" s="6">
        <f>IF(F106="","",IF(F106=0,"",H106-(Standards!D$14*L$5)-(Standards!D$15*K$5)))</f>
        <v>-23.070344423988978</v>
      </c>
      <c r="J106" s="12" t="str">
        <f>IF(F106="","",VLOOKUP(F106,Parts!A:J,10,FALSE))</f>
        <v>USBM1X8</v>
      </c>
      <c r="K106" s="12" t="str">
        <f>IF(F106="","",VLOOKUP(F106,Parts!A:N,14,FALSE))</f>
        <v>PLO-U-108-SCA-SCA</v>
      </c>
      <c r="L106" s="33" t="s">
        <v>330</v>
      </c>
      <c r="M106" s="33" t="s">
        <v>331</v>
      </c>
      <c r="N106" s="8">
        <f>IF(F106="","",L$102-Q106-R106)</f>
        <v>-12.074896428963314</v>
      </c>
      <c r="O106" s="8">
        <f t="shared" si="10"/>
        <v>3.5000000000000003E-2</v>
      </c>
      <c r="P106" s="8">
        <f t="shared" si="12"/>
        <v>-12.109896428963314</v>
      </c>
      <c r="Q106" s="8">
        <f>(B106*Standards!D$15)+Q105</f>
        <v>0.87309957206081268</v>
      </c>
      <c r="R106" s="8">
        <f t="shared" si="11"/>
        <v>0.31500000000000006</v>
      </c>
    </row>
    <row r="107" spans="1:26" x14ac:dyDescent="0.25">
      <c r="A107" s="35">
        <v>4</v>
      </c>
      <c r="B107" s="34">
        <f>340</f>
        <v>340</v>
      </c>
      <c r="C107" s="50" t="s">
        <v>228</v>
      </c>
      <c r="D107" s="51" t="s">
        <v>229</v>
      </c>
      <c r="E107" s="16" t="s">
        <v>91</v>
      </c>
      <c r="F107" s="13">
        <v>0</v>
      </c>
      <c r="G107" s="56"/>
      <c r="H107" s="6">
        <f>IF(F107="","",N107-VLOOKUP(F107,Parts!A:F,6,FALSE))</f>
        <v>-12.145131307835797</v>
      </c>
      <c r="I107" s="6" t="str">
        <f>IF(F107="","",IF(F107=0,"",H107-(Standards!D$14*L$5)-(Standards!D$15*K$5)))</f>
        <v/>
      </c>
      <c r="J107" s="12" t="str">
        <f>IF(F107="","",VLOOKUP(F107,Parts!A:J,10,FALSE))</f>
        <v>N/A</v>
      </c>
      <c r="K107" s="12" t="str">
        <f>IF(F107="","",VLOOKUP(F107,Parts!A:N,14,FALSE))</f>
        <v>N/A</v>
      </c>
      <c r="L107" s="33"/>
      <c r="M107" s="33"/>
      <c r="N107" s="8">
        <f>IF(F107="","",L$102-Q107-R107)</f>
        <v>-12.145131307835797</v>
      </c>
      <c r="O107" s="8">
        <f t="shared" si="10"/>
        <v>3.5000000000000003E-2</v>
      </c>
      <c r="P107" s="8">
        <f t="shared" si="12"/>
        <v>-12.180131307835797</v>
      </c>
      <c r="Q107" s="8">
        <f>(B107*Standards!D$15)+Q106</f>
        <v>0.90833445093329657</v>
      </c>
      <c r="R107" s="8">
        <f t="shared" si="11"/>
        <v>0.35000000000000009</v>
      </c>
    </row>
    <row r="108" spans="1:26" x14ac:dyDescent="0.25">
      <c r="A108" s="35">
        <v>5</v>
      </c>
      <c r="B108" s="34">
        <f>792+100</f>
        <v>892</v>
      </c>
      <c r="C108" s="50" t="s">
        <v>230</v>
      </c>
      <c r="D108" s="51" t="s">
        <v>179</v>
      </c>
      <c r="E108" s="16" t="s">
        <v>91</v>
      </c>
      <c r="F108" s="13">
        <v>4</v>
      </c>
      <c r="G108" s="55"/>
      <c r="H108" s="6">
        <f>IF(F108="","",N108-VLOOKUP(F108,Parts!A:F,6,FALSE))</f>
        <v>-19.512571048877724</v>
      </c>
      <c r="I108" s="6">
        <f>IF(F108="","",IF(F108=0,"",H108-(Standards!D$14*L$5)-(Standards!D$15*K$5)))</f>
        <v>-19.868019043903388</v>
      </c>
      <c r="J108" s="12" t="str">
        <f>IF(F108="","",VLOOKUP(F108,Parts!A:J,10,FALSE))</f>
        <v>USBM1X4</v>
      </c>
      <c r="K108" s="12" t="str">
        <f>IF(F108="","",VLOOKUP(F108,Parts!A:N,14,FALSE))</f>
        <v>PLO-U-104-SCA-SCA</v>
      </c>
      <c r="L108" s="33" t="s">
        <v>332</v>
      </c>
      <c r="M108" s="33" t="s">
        <v>333</v>
      </c>
      <c r="N108" s="8">
        <f>IF(F108="","",L$102-Q108-R108)</f>
        <v>-12.272571048877726</v>
      </c>
      <c r="O108" s="8">
        <f t="shared" si="10"/>
        <v>3.5000000000000003E-2</v>
      </c>
      <c r="P108" s="8">
        <f t="shared" si="12"/>
        <v>-12.307571048877726</v>
      </c>
      <c r="Q108" s="8">
        <f>(B108*Standards!D$15)+Q107</f>
        <v>1.0007741919752247</v>
      </c>
      <c r="R108" s="8">
        <f t="shared" si="11"/>
        <v>0.38500000000000012</v>
      </c>
    </row>
    <row r="109" spans="1:26" x14ac:dyDescent="0.25">
      <c r="A109" s="35">
        <v>6</v>
      </c>
      <c r="B109" s="34">
        <f>542+100</f>
        <v>642</v>
      </c>
      <c r="C109" s="50" t="s">
        <v>230</v>
      </c>
      <c r="D109" s="51" t="s">
        <v>196</v>
      </c>
      <c r="E109" s="16" t="s">
        <v>91</v>
      </c>
      <c r="F109" s="13">
        <v>4</v>
      </c>
      <c r="G109" s="56"/>
      <c r="H109" s="6">
        <f>IF(F109="","",N109-VLOOKUP(F109,Parts!A:F,6,FALSE))</f>
        <v>-19.61410279074871</v>
      </c>
      <c r="I109" s="6">
        <f>IF(F109="","",IF(F109=0,"",H109-(Standards!D$14*L$5)-(Standards!D$15*K$5)))</f>
        <v>-19.969550785774373</v>
      </c>
      <c r="J109" s="12" t="str">
        <f>IF(F109="","",VLOOKUP(F109,Parts!A:J,10,FALSE))</f>
        <v>USBM1X4</v>
      </c>
      <c r="K109" s="12" t="str">
        <f>IF(F109="","",VLOOKUP(F109,Parts!A:N,14,FALSE))</f>
        <v>PLO-U-104-SCA-SCA</v>
      </c>
      <c r="L109" s="33" t="s">
        <v>334</v>
      </c>
      <c r="M109" s="33" t="s">
        <v>335</v>
      </c>
      <c r="N109" s="8">
        <f>IF(F109="","",L$102-Q109-R109)</f>
        <v>-12.37410279074871</v>
      </c>
      <c r="O109" s="8">
        <f t="shared" si="10"/>
        <v>3.5000000000000003E-2</v>
      </c>
      <c r="P109" s="8">
        <f t="shared" si="12"/>
        <v>-12.40910279074871</v>
      </c>
      <c r="Q109" s="8">
        <f>(B109*Standards!D$15)+Q108</f>
        <v>1.0673059338462088</v>
      </c>
      <c r="R109" s="8">
        <f t="shared" si="11"/>
        <v>0.42000000000000015</v>
      </c>
    </row>
    <row r="110" spans="1:26" x14ac:dyDescent="0.25">
      <c r="A110" s="35">
        <v>7</v>
      </c>
      <c r="B110" s="34"/>
      <c r="C110" s="50"/>
      <c r="D110" s="51"/>
      <c r="E110" s="16"/>
      <c r="F110" s="13"/>
      <c r="G110" s="56"/>
      <c r="H110" s="6" t="str">
        <f>IF(F110="","",N110-VLOOKUP(F110,Parts!A:F,6,FALSE))</f>
        <v/>
      </c>
      <c r="I110" s="6" t="str">
        <f>IF(F110="","",IF(F110=0,"",H110-(Standards!D$14*L$5)-(Standards!D$15*K$5)))</f>
        <v/>
      </c>
      <c r="J110" s="12" t="str">
        <f>IF(F110="","",VLOOKUP(F110,Parts!A:J,10,FALSE))</f>
        <v/>
      </c>
      <c r="K110" s="12" t="str">
        <f>IF(F110="","",VLOOKUP(F110,Parts!A:N,14,FALSE))</f>
        <v/>
      </c>
      <c r="L110" s="33"/>
      <c r="M110" s="33"/>
      <c r="N110" s="8" t="str">
        <f>IF(F110="","",L$102-Q110-R110)</f>
        <v/>
      </c>
      <c r="O110" s="8">
        <f t="shared" si="10"/>
        <v>3.5000000000000003E-2</v>
      </c>
      <c r="P110" s="8" t="str">
        <f t="shared" si="12"/>
        <v/>
      </c>
      <c r="Q110" s="8">
        <f>(B110*Standards!D$15)+Q109</f>
        <v>1.0673059338462088</v>
      </c>
      <c r="R110" s="8">
        <f t="shared" si="11"/>
        <v>0.42000000000000015</v>
      </c>
    </row>
    <row r="111" spans="1:26" x14ac:dyDescent="0.25">
      <c r="A111" s="35">
        <v>8</v>
      </c>
      <c r="B111" s="34"/>
      <c r="C111" s="50"/>
      <c r="D111" s="51"/>
      <c r="E111" s="16"/>
      <c r="F111" s="13"/>
      <c r="G111" s="40"/>
      <c r="H111" s="6" t="str">
        <f>IF(F111="","",N111-VLOOKUP(F111,Parts!A:F,6,FALSE))</f>
        <v/>
      </c>
      <c r="I111" s="6" t="str">
        <f>IF(F111="","",IF(F111=0,"",H111-(Standards!D$14*L$5)-(Standards!D$15*K$5)))</f>
        <v/>
      </c>
      <c r="J111" s="12" t="str">
        <f>IF(F111="","",VLOOKUP(F111,Parts!A:J,10,FALSE))</f>
        <v/>
      </c>
      <c r="K111" s="12" t="str">
        <f>IF(F111="","",VLOOKUP(F111,Parts!A:N,14,FALSE))</f>
        <v/>
      </c>
      <c r="L111" s="33"/>
      <c r="M111" s="33"/>
      <c r="N111" s="8" t="str">
        <f>IF(F111="","",L$102-Q111-R111)</f>
        <v/>
      </c>
      <c r="O111" s="8">
        <f t="shared" si="10"/>
        <v>3.5000000000000003E-2</v>
      </c>
      <c r="P111" s="8" t="str">
        <f t="shared" si="12"/>
        <v/>
      </c>
      <c r="Q111" s="8">
        <f>(B111*Standards!D$15)+Q110</f>
        <v>1.0673059338462088</v>
      </c>
      <c r="R111" s="8">
        <f t="shared" si="11"/>
        <v>0.42000000000000015</v>
      </c>
    </row>
    <row r="112" spans="1:26" x14ac:dyDescent="0.25">
      <c r="A112" s="35">
        <v>9</v>
      </c>
      <c r="B112" s="34"/>
      <c r="C112" s="50"/>
      <c r="D112" s="52"/>
      <c r="E112" s="17"/>
      <c r="F112" s="13"/>
      <c r="G112" s="40"/>
      <c r="H112" s="6" t="str">
        <f>IF(F112="","",N112-VLOOKUP(F112,Parts!A:F,6,FALSE))</f>
        <v/>
      </c>
      <c r="I112" s="6" t="str">
        <f>IF(F112="","",IF(F112=0,"",H112-(Standards!D$14*L$5)-(Standards!D$15*K$5)))</f>
        <v/>
      </c>
      <c r="J112" s="12" t="str">
        <f>IF(F112="","",VLOOKUP(F112,Parts!A:J,10,FALSE))</f>
        <v/>
      </c>
      <c r="K112" s="12" t="str">
        <f>IF(F112="","",VLOOKUP(F112,Parts!A:N,14,FALSE))</f>
        <v/>
      </c>
      <c r="L112" s="33"/>
      <c r="M112" s="33"/>
      <c r="N112" s="8" t="str">
        <f>IF(F112="","",L$102-Q112-R112)</f>
        <v/>
      </c>
      <c r="O112" s="8">
        <f t="shared" si="10"/>
        <v>3.5000000000000003E-2</v>
      </c>
      <c r="P112" s="8" t="str">
        <f t="shared" si="12"/>
        <v/>
      </c>
      <c r="Q112" s="8">
        <f>(B112*Standards!D$15)+Q111</f>
        <v>1.0673059338462088</v>
      </c>
      <c r="R112" s="8">
        <f t="shared" si="11"/>
        <v>0.42000000000000015</v>
      </c>
    </row>
    <row r="113" spans="1:26" s="8" customFormat="1" x14ac:dyDescent="0.25">
      <c r="A113" s="35">
        <v>10</v>
      </c>
      <c r="B113" s="34"/>
      <c r="C113" s="50"/>
      <c r="D113" s="52"/>
      <c r="E113" s="17"/>
      <c r="F113" s="13"/>
      <c r="G113" s="40"/>
      <c r="H113" s="6" t="str">
        <f>IF(F113="","",N113-VLOOKUP(F113,Parts!A:F,6,FALSE))</f>
        <v/>
      </c>
      <c r="I113" s="6" t="str">
        <f>IF(F113="","",IF(F113=0,"",H113-(Standards!D$14*L$5)-(Standards!D$15*K$5)))</f>
        <v/>
      </c>
      <c r="J113" s="12" t="str">
        <f>IF(F113="","",VLOOKUP(F113,Parts!A:J,10,FALSE))</f>
        <v/>
      </c>
      <c r="K113" s="12" t="str">
        <f>IF(F113="","",VLOOKUP(F113,Parts!A:N,14,FALSE))</f>
        <v/>
      </c>
      <c r="L113" s="33"/>
      <c r="M113" s="33"/>
      <c r="N113" s="8" t="str">
        <f>IF(F113="","",L$102-Q113-R113)</f>
        <v/>
      </c>
      <c r="O113" s="8">
        <f t="shared" si="10"/>
        <v>3.5000000000000003E-2</v>
      </c>
      <c r="P113" s="8" t="str">
        <f t="shared" si="12"/>
        <v/>
      </c>
      <c r="Q113" s="8">
        <f>(B113*Standards!D$15)+Q112</f>
        <v>1.0673059338462088</v>
      </c>
      <c r="R113" s="8">
        <f t="shared" si="11"/>
        <v>0.42000000000000015</v>
      </c>
      <c r="T113" s="59"/>
      <c r="U113" s="59"/>
      <c r="V113" s="59"/>
      <c r="W113" s="59"/>
      <c r="X113" s="59"/>
      <c r="Y113" s="59"/>
      <c r="Z113" s="59"/>
    </row>
    <row r="114" spans="1:26" s="8" customFormat="1" x14ac:dyDescent="0.25">
      <c r="A114" s="35">
        <v>11</v>
      </c>
      <c r="B114" s="34"/>
      <c r="C114" s="50"/>
      <c r="D114" s="51"/>
      <c r="E114" s="18"/>
      <c r="F114" s="13"/>
      <c r="G114" s="40"/>
      <c r="H114" s="6" t="str">
        <f>IF(F114="","",N114-VLOOKUP(F114,Parts!A:F,6,FALSE))</f>
        <v/>
      </c>
      <c r="I114" s="6" t="str">
        <f>IF(F114="","",IF(F114=0,"",H114-(Standards!D$14*L$5)-(Standards!D$15*K$5)))</f>
        <v/>
      </c>
      <c r="J114" s="12" t="str">
        <f>IF(F114="","",VLOOKUP(F114,Parts!A:J,10,FALSE))</f>
        <v/>
      </c>
      <c r="K114" s="12" t="str">
        <f>IF(F114="","",VLOOKUP(F114,Parts!A:N,14,FALSE))</f>
        <v/>
      </c>
      <c r="L114" s="33"/>
      <c r="M114" s="33"/>
      <c r="N114" s="8" t="str">
        <f>IF(F114="","",L$102-Q114-R114)</f>
        <v/>
      </c>
      <c r="O114" s="8">
        <f t="shared" si="10"/>
        <v>3.5000000000000003E-2</v>
      </c>
      <c r="P114" s="8" t="str">
        <f t="shared" si="12"/>
        <v/>
      </c>
      <c r="Q114" s="8">
        <f>(B114*Standards!D$15)+Q113</f>
        <v>1.0673059338462088</v>
      </c>
      <c r="R114" s="8">
        <f t="shared" si="11"/>
        <v>0.42000000000000015</v>
      </c>
      <c r="T114" s="59"/>
      <c r="U114" s="59"/>
      <c r="V114" s="59"/>
      <c r="W114" s="59"/>
      <c r="X114" s="59"/>
      <c r="Y114" s="59"/>
      <c r="Z114" s="59"/>
    </row>
    <row r="115" spans="1:26" s="8" customFormat="1" x14ac:dyDescent="0.25">
      <c r="A115" s="35">
        <v>12</v>
      </c>
      <c r="B115" s="34"/>
      <c r="C115" s="50"/>
      <c r="D115" s="52"/>
      <c r="E115" s="17"/>
      <c r="F115" s="13"/>
      <c r="G115" s="40"/>
      <c r="H115" s="6" t="str">
        <f>IF(F115="","",N115-VLOOKUP(F115,Parts!A:F,6,FALSE))</f>
        <v/>
      </c>
      <c r="I115" s="6" t="str">
        <f>IF(F115="","",IF(F115=0,"",H115-(Standards!D$14*L$5)-(Standards!D$15*K$5)))</f>
        <v/>
      </c>
      <c r="J115" s="12" t="str">
        <f>IF(F115="","",VLOOKUP(F115,Parts!A:J,10,FALSE))</f>
        <v/>
      </c>
      <c r="K115" s="12" t="str">
        <f>IF(F115="","",VLOOKUP(F115,Parts!A:N,14,FALSE))</f>
        <v/>
      </c>
      <c r="L115" s="33"/>
      <c r="M115" s="33"/>
      <c r="N115" s="8" t="str">
        <f>IF(F115="","",L$102-Q115-R115)</f>
        <v/>
      </c>
      <c r="O115" s="8">
        <f t="shared" si="10"/>
        <v>3.5000000000000003E-2</v>
      </c>
      <c r="P115" s="8" t="str">
        <f t="shared" si="12"/>
        <v/>
      </c>
      <c r="Q115" s="8">
        <f>(B115*Standards!D$15)+Q114</f>
        <v>1.0673059338462088</v>
      </c>
      <c r="R115" s="8">
        <f t="shared" si="11"/>
        <v>0.42000000000000015</v>
      </c>
      <c r="T115" s="59"/>
      <c r="U115" s="59"/>
      <c r="V115" s="59"/>
      <c r="W115" s="59"/>
      <c r="X115" s="59"/>
      <c r="Y115" s="59"/>
      <c r="Z115" s="59"/>
    </row>
    <row r="116" spans="1:26" s="8" customFormat="1" x14ac:dyDescent="0.25">
      <c r="A116" s="35">
        <v>13</v>
      </c>
      <c r="B116" s="34"/>
      <c r="C116" s="50"/>
      <c r="D116" s="53"/>
      <c r="E116" s="16"/>
      <c r="F116" s="13"/>
      <c r="G116" s="40"/>
      <c r="H116" s="6" t="str">
        <f>IF(F116="","",N116-VLOOKUP(F116,Parts!A:F,6,FALSE))</f>
        <v/>
      </c>
      <c r="I116" s="6" t="str">
        <f>IF(F116="","",IF(F116=0,"",H116-(Standards!D$14*L$5)-(Standards!D$15*K$5)))</f>
        <v/>
      </c>
      <c r="J116" s="12" t="str">
        <f>IF(F116="","",VLOOKUP(F116,Parts!A:J,10,FALSE))</f>
        <v/>
      </c>
      <c r="K116" s="12" t="str">
        <f>IF(F116="","",VLOOKUP(F116,Parts!A:N,14,FALSE))</f>
        <v/>
      </c>
      <c r="L116" s="33"/>
      <c r="M116" s="33"/>
      <c r="N116" s="8" t="str">
        <f>IF(F116="","",L$102-Q116-R116)</f>
        <v/>
      </c>
      <c r="O116" s="8">
        <f t="shared" si="10"/>
        <v>3.5000000000000003E-2</v>
      </c>
      <c r="P116" s="8" t="str">
        <f t="shared" si="12"/>
        <v/>
      </c>
      <c r="Q116" s="8">
        <f>(B116*Standards!D$15)+Q115</f>
        <v>1.0673059338462088</v>
      </c>
      <c r="R116" s="8">
        <f t="shared" si="11"/>
        <v>0.42000000000000015</v>
      </c>
      <c r="T116" s="59"/>
      <c r="U116" s="59"/>
      <c r="V116" s="59"/>
      <c r="W116" s="59"/>
      <c r="X116" s="59"/>
      <c r="Y116" s="59"/>
      <c r="Z116" s="59"/>
    </row>
    <row r="117" spans="1:26" s="8" customFormat="1" x14ac:dyDescent="0.25">
      <c r="A117" s="35">
        <v>14</v>
      </c>
      <c r="B117" s="34"/>
      <c r="C117" s="50"/>
      <c r="D117" s="53"/>
      <c r="E117" s="16"/>
      <c r="F117" s="13"/>
      <c r="G117" s="40"/>
      <c r="H117" s="6" t="str">
        <f>IF(F117="","",N117-VLOOKUP(F117,Parts!A:F,6,FALSE))</f>
        <v/>
      </c>
      <c r="I117" s="6" t="str">
        <f>IF(F117="","",IF(F117=0,"",H117-(Standards!D$14*L$5)-(Standards!D$15*K$5)))</f>
        <v/>
      </c>
      <c r="J117" s="12" t="str">
        <f>IF(F117="","",VLOOKUP(F117,Parts!A:J,10,FALSE))</f>
        <v/>
      </c>
      <c r="K117" s="12" t="str">
        <f>IF(F117="","",VLOOKUP(F117,Parts!A:N,14,FALSE))</f>
        <v/>
      </c>
      <c r="L117" s="33"/>
      <c r="M117" s="33"/>
      <c r="N117" s="8" t="str">
        <f>IF(F117="","",L$102-Q117-R117)</f>
        <v/>
      </c>
      <c r="O117" s="8">
        <f t="shared" si="10"/>
        <v>3.5000000000000003E-2</v>
      </c>
      <c r="P117" s="8" t="str">
        <f t="shared" si="12"/>
        <v/>
      </c>
      <c r="Q117" s="8">
        <f>(B117*Standards!D$15)+Q116</f>
        <v>1.0673059338462088</v>
      </c>
      <c r="R117" s="8">
        <f t="shared" si="11"/>
        <v>0.42000000000000015</v>
      </c>
      <c r="T117" s="59"/>
      <c r="U117" s="59"/>
      <c r="V117" s="59"/>
      <c r="W117" s="59"/>
      <c r="X117" s="59"/>
      <c r="Y117" s="59"/>
      <c r="Z117" s="59"/>
    </row>
    <row r="118" spans="1:26" s="8" customFormat="1" x14ac:dyDescent="0.25">
      <c r="A118" s="35">
        <v>15</v>
      </c>
      <c r="B118" s="34"/>
      <c r="C118" s="50"/>
      <c r="D118" s="53"/>
      <c r="E118" s="16"/>
      <c r="F118" s="13"/>
      <c r="G118" s="40"/>
      <c r="H118" s="6" t="str">
        <f>IF(F118="","",N118-VLOOKUP(F118,Parts!A:F,6,FALSE))</f>
        <v/>
      </c>
      <c r="I118" s="6" t="str">
        <f>IF(F118="","",IF(F118=0,"",H118-(Standards!D$14*L$5)-(Standards!D$15*K$5)))</f>
        <v/>
      </c>
      <c r="J118" s="12" t="str">
        <f>IF(F118="","",VLOOKUP(F118,Parts!A:J,10,FALSE))</f>
        <v/>
      </c>
      <c r="K118" s="12" t="str">
        <f>IF(F118="","",VLOOKUP(F118,Parts!A:N,14,FALSE))</f>
        <v/>
      </c>
      <c r="L118" s="33"/>
      <c r="M118" s="33"/>
      <c r="N118" s="8" t="str">
        <f>IF(F118="","",L$102-Q118-R118)</f>
        <v/>
      </c>
      <c r="O118" s="8">
        <f t="shared" si="10"/>
        <v>3.5000000000000003E-2</v>
      </c>
      <c r="P118" s="8" t="str">
        <f t="shared" si="12"/>
        <v/>
      </c>
      <c r="Q118" s="8">
        <f>(B118*Standards!D$15)+Q117</f>
        <v>1.0673059338462088</v>
      </c>
      <c r="R118" s="8">
        <f t="shared" si="11"/>
        <v>0.42000000000000015</v>
      </c>
      <c r="T118" s="59"/>
      <c r="U118" s="59"/>
      <c r="V118" s="59"/>
      <c r="W118" s="59"/>
      <c r="X118" s="59"/>
      <c r="Y118" s="59"/>
      <c r="Z118" s="59"/>
    </row>
    <row r="119" spans="1:26" s="8" customFormat="1" x14ac:dyDescent="0.25">
      <c r="A119" s="35">
        <v>16</v>
      </c>
      <c r="B119" s="34"/>
      <c r="C119" s="50"/>
      <c r="D119" s="53"/>
      <c r="E119" s="16"/>
      <c r="F119" s="13"/>
      <c r="G119" s="40"/>
      <c r="H119" s="6" t="str">
        <f>IF(F119="","",N119-VLOOKUP(F119,Parts!A:F,6,FALSE))</f>
        <v/>
      </c>
      <c r="I119" s="6" t="str">
        <f>IF(F119="","",IF(F119=0,"",H119-(Standards!D$14*L$5)-(Standards!D$15*K$5)))</f>
        <v/>
      </c>
      <c r="J119" s="12" t="str">
        <f>IF(F119="","",VLOOKUP(F119,Parts!A:J,10,FALSE))</f>
        <v/>
      </c>
      <c r="K119" s="12" t="str">
        <f>IF(F119="","",VLOOKUP(F119,Parts!A:N,14,FALSE))</f>
        <v/>
      </c>
      <c r="L119" s="33"/>
      <c r="M119" s="33"/>
      <c r="N119" s="8" t="str">
        <f>IF(F119="","",L$102-Q119-R119)</f>
        <v/>
      </c>
      <c r="O119" s="8">
        <f t="shared" si="10"/>
        <v>3.5000000000000003E-2</v>
      </c>
      <c r="P119" s="8" t="str">
        <f t="shared" si="12"/>
        <v/>
      </c>
      <c r="Q119" s="8">
        <f>(B119*Standards!D$15)+Q118</f>
        <v>1.0673059338462088</v>
      </c>
      <c r="R119" s="8">
        <f t="shared" si="11"/>
        <v>0.42000000000000015</v>
      </c>
      <c r="T119" s="59"/>
      <c r="U119" s="59"/>
      <c r="V119" s="59"/>
      <c r="W119" s="59"/>
      <c r="X119" s="59"/>
      <c r="Y119" s="59"/>
      <c r="Z119" s="59"/>
    </row>
    <row r="120" spans="1:26" s="8" customFormat="1" x14ac:dyDescent="0.25">
      <c r="A120" s="35">
        <v>17</v>
      </c>
      <c r="B120" s="34"/>
      <c r="C120" s="50"/>
      <c r="D120" s="53"/>
      <c r="E120" s="16"/>
      <c r="F120" s="13"/>
      <c r="G120" s="40"/>
      <c r="H120" s="6" t="str">
        <f>IF(F120="","",N120-VLOOKUP(F120,Parts!A:F,6,FALSE))</f>
        <v/>
      </c>
      <c r="I120" s="6" t="str">
        <f>IF(F120="","",IF(F120=0,"",H120-(Standards!D$14*L$5)-(Standards!D$15*K$5)))</f>
        <v/>
      </c>
      <c r="J120" s="12" t="str">
        <f>IF(F120="","",VLOOKUP(F120,Parts!A:J,10,FALSE))</f>
        <v/>
      </c>
      <c r="K120" s="12" t="str">
        <f>IF(F120="","",VLOOKUP(F120,Parts!A:N,14,FALSE))</f>
        <v/>
      </c>
      <c r="L120" s="33"/>
      <c r="M120" s="33"/>
      <c r="N120" s="8" t="str">
        <f>IF(F120="","",L$102-Q120-R120)</f>
        <v/>
      </c>
      <c r="O120" s="8">
        <f t="shared" si="10"/>
        <v>3.5000000000000003E-2</v>
      </c>
      <c r="P120" s="8" t="str">
        <f t="shared" si="12"/>
        <v/>
      </c>
      <c r="Q120" s="8">
        <f>(B120*Standards!D$15)+Q119</f>
        <v>1.0673059338462088</v>
      </c>
      <c r="R120" s="8">
        <f t="shared" si="11"/>
        <v>0.42000000000000015</v>
      </c>
      <c r="T120" s="59"/>
      <c r="U120" s="59"/>
      <c r="V120" s="59"/>
      <c r="W120" s="59"/>
      <c r="X120" s="59"/>
      <c r="Y120" s="59"/>
      <c r="Z120" s="59"/>
    </row>
    <row r="121" spans="1:26" s="8" customFormat="1" x14ac:dyDescent="0.25">
      <c r="A121" s="35">
        <v>18</v>
      </c>
      <c r="B121" s="34"/>
      <c r="C121" s="50"/>
      <c r="D121" s="53"/>
      <c r="E121" s="16"/>
      <c r="F121" s="13"/>
      <c r="G121" s="40"/>
      <c r="H121" s="6" t="str">
        <f>IF(F121="","",N121-VLOOKUP(F121,Parts!A:F,6,FALSE))</f>
        <v/>
      </c>
      <c r="I121" s="6" t="str">
        <f>IF(F121="","",IF(F121=0,"",H121-(Standards!D$14*L$5)-(Standards!D$15*K$5)))</f>
        <v/>
      </c>
      <c r="J121" s="12" t="str">
        <f>IF(F121="","",VLOOKUP(F121,Parts!A:J,10,FALSE))</f>
        <v/>
      </c>
      <c r="K121" s="12" t="str">
        <f>IF(F121="","",VLOOKUP(F121,Parts!A:N,14,FALSE))</f>
        <v/>
      </c>
      <c r="L121" s="33"/>
      <c r="M121" s="33"/>
      <c r="N121" s="8" t="str">
        <f>IF(F121="","",L$102-Q121-R121)</f>
        <v/>
      </c>
      <c r="O121" s="8">
        <f t="shared" si="10"/>
        <v>3.5000000000000003E-2</v>
      </c>
      <c r="P121" s="8" t="str">
        <f t="shared" si="12"/>
        <v/>
      </c>
      <c r="Q121" s="8">
        <f>(B121*Standards!D$15)+Q120</f>
        <v>1.0673059338462088</v>
      </c>
      <c r="R121" s="8">
        <f t="shared" si="11"/>
        <v>0.42000000000000015</v>
      </c>
      <c r="T121" s="59"/>
      <c r="U121" s="59"/>
      <c r="V121" s="59"/>
      <c r="W121" s="59"/>
      <c r="X121" s="59"/>
      <c r="Y121" s="59"/>
      <c r="Z121" s="59"/>
    </row>
    <row r="122" spans="1:26" s="8" customFormat="1" x14ac:dyDescent="0.25">
      <c r="A122" s="35">
        <v>19</v>
      </c>
      <c r="B122" s="34"/>
      <c r="C122" s="50"/>
      <c r="D122" s="53"/>
      <c r="E122" s="16"/>
      <c r="F122" s="13"/>
      <c r="G122" s="40"/>
      <c r="H122" s="6" t="str">
        <f>IF(F122="","",N122-VLOOKUP(F122,Parts!A:F,6,FALSE))</f>
        <v/>
      </c>
      <c r="I122" s="6" t="str">
        <f>IF(F122="","",IF(F122=0,"",H122-(Standards!D$14*L$5)-(Standards!D$15*K$5)))</f>
        <v/>
      </c>
      <c r="J122" s="12" t="str">
        <f>IF(F122="","",VLOOKUP(F122,Parts!A:J,10,FALSE))</f>
        <v/>
      </c>
      <c r="K122" s="12" t="str">
        <f>IF(F122="","",VLOOKUP(F122,Parts!A:N,14,FALSE))</f>
        <v/>
      </c>
      <c r="L122" s="33"/>
      <c r="M122" s="33"/>
      <c r="N122" s="8" t="str">
        <f>IF(F122="","",L$102-Q122-R122)</f>
        <v/>
      </c>
      <c r="O122" s="8">
        <f t="shared" si="10"/>
        <v>3.5000000000000003E-2</v>
      </c>
      <c r="P122" s="8" t="str">
        <f t="shared" si="12"/>
        <v/>
      </c>
      <c r="Q122" s="8">
        <f>(B122*Standards!D$15)+Q121</f>
        <v>1.0673059338462088</v>
      </c>
      <c r="R122" s="8">
        <f t="shared" si="11"/>
        <v>0.42000000000000015</v>
      </c>
      <c r="T122" s="59"/>
      <c r="U122" s="59"/>
      <c r="V122" s="59"/>
      <c r="W122" s="59"/>
      <c r="X122" s="59"/>
      <c r="Y122" s="59"/>
      <c r="Z122" s="59"/>
    </row>
    <row r="123" spans="1:26" s="8" customFormat="1" x14ac:dyDescent="0.25">
      <c r="A123" s="35">
        <v>20</v>
      </c>
      <c r="B123" s="34"/>
      <c r="C123" s="50"/>
      <c r="D123" s="53"/>
      <c r="E123" s="16"/>
      <c r="F123" s="13"/>
      <c r="G123" s="40"/>
      <c r="H123" s="6" t="str">
        <f>IF(F123="","",N123-VLOOKUP(F123,Parts!A:F,6,FALSE))</f>
        <v/>
      </c>
      <c r="I123" s="6" t="str">
        <f>IF(F123="","",IF(F123=0,"",H123-(Standards!D$14*L$5)-(Standards!D$15*K$5)))</f>
        <v/>
      </c>
      <c r="J123" s="12" t="str">
        <f>IF(F123="","",VLOOKUP(F123,Parts!A:J,10,FALSE))</f>
        <v/>
      </c>
      <c r="K123" s="12" t="str">
        <f>IF(F123="","",VLOOKUP(F123,Parts!A:N,14,FALSE))</f>
        <v/>
      </c>
      <c r="L123" s="33"/>
      <c r="M123" s="33"/>
      <c r="N123" s="8" t="str">
        <f>IF(F123="","",L$102-Q123-R123)</f>
        <v/>
      </c>
      <c r="O123" s="8">
        <f t="shared" si="10"/>
        <v>3.5000000000000003E-2</v>
      </c>
      <c r="P123" s="8" t="str">
        <f t="shared" si="12"/>
        <v/>
      </c>
      <c r="Q123" s="8">
        <f>(B123*Standards!D$15)+Q122</f>
        <v>1.0673059338462088</v>
      </c>
      <c r="R123" s="8">
        <f t="shared" si="11"/>
        <v>0.42000000000000015</v>
      </c>
      <c r="T123" s="59"/>
      <c r="U123" s="59"/>
      <c r="V123" s="59"/>
      <c r="W123" s="59"/>
      <c r="X123" s="59"/>
      <c r="Y123" s="59"/>
      <c r="Z123" s="59"/>
    </row>
    <row r="124" spans="1:26" s="8" customFormat="1" x14ac:dyDescent="0.25">
      <c r="A124" s="35">
        <v>21</v>
      </c>
      <c r="B124" s="34"/>
      <c r="C124" s="50"/>
      <c r="D124" s="53"/>
      <c r="E124" s="16"/>
      <c r="F124" s="13"/>
      <c r="G124" s="40"/>
      <c r="H124" s="6" t="str">
        <f>IF(F124="","",N124-VLOOKUP(F124,Parts!A:F,6,FALSE))</f>
        <v/>
      </c>
      <c r="I124" s="6" t="str">
        <f>IF(F124="","",IF(F124=0,"",H124-(Standards!D$14*L$5)-(Standards!D$15*K$5)))</f>
        <v/>
      </c>
      <c r="J124" s="12" t="str">
        <f>IF(F124="","",VLOOKUP(F124,Parts!A:J,10,FALSE))</f>
        <v/>
      </c>
      <c r="K124" s="12" t="str">
        <f>IF(F124="","",VLOOKUP(F124,Parts!A:N,14,FALSE))</f>
        <v/>
      </c>
      <c r="L124" s="33"/>
      <c r="M124" s="33"/>
      <c r="N124" s="8" t="str">
        <f>IF(F124="","",L$102-Q124-R124)</f>
        <v/>
      </c>
      <c r="O124" s="8">
        <f t="shared" si="10"/>
        <v>3.5000000000000003E-2</v>
      </c>
      <c r="P124" s="8" t="str">
        <f t="shared" si="12"/>
        <v/>
      </c>
      <c r="Q124" s="8">
        <f>(B124*Standards!D$15)+Q123</f>
        <v>1.0673059338462088</v>
      </c>
      <c r="R124" s="8">
        <f t="shared" si="11"/>
        <v>0.42000000000000015</v>
      </c>
      <c r="T124" s="59"/>
      <c r="U124" s="59"/>
      <c r="V124" s="59"/>
      <c r="W124" s="59"/>
      <c r="X124" s="59"/>
      <c r="Y124" s="59"/>
      <c r="Z124" s="59"/>
    </row>
  </sheetData>
  <sheetProtection algorithmName="SHA-512" hashValue="17DGMW2Eovy97+6C658BOSVNh0W5ITmXL5igwoaDZC/tZmKCNCxizE3Ef7OiERDd5P9BtF+6/XZJVd+65bcDWg==" saltValue="O10JZAtlKIYoPypt45eCYw==" spinCount="100000" sheet="1" objects="1" scenarios="1" selectLockedCells="1"/>
  <mergeCells count="8">
    <mergeCell ref="K3:K4"/>
    <mergeCell ref="L3:L4"/>
    <mergeCell ref="A1:C1"/>
    <mergeCell ref="B2:D2"/>
    <mergeCell ref="A3:A4"/>
    <mergeCell ref="B3:G4"/>
    <mergeCell ref="H3:H4"/>
    <mergeCell ref="I3:I4"/>
  </mergeCells>
  <conditionalFormatting sqref="H8:H39">
    <cfRule type="containsBlanks" dxfId="29" priority="20">
      <formula>LEN(TRIM(H8))=0</formula>
    </cfRule>
  </conditionalFormatting>
  <conditionalFormatting sqref="I8:I39">
    <cfRule type="containsBlanks" dxfId="28" priority="18">
      <formula>LEN(TRIM(I8))=0</formula>
    </cfRule>
  </conditionalFormatting>
  <conditionalFormatting sqref="B6">
    <cfRule type="cellIs" dxfId="27" priority="17" operator="greaterThan">
      <formula>65000</formula>
    </cfRule>
  </conditionalFormatting>
  <conditionalFormatting sqref="H43:H72">
    <cfRule type="containsBlanks" dxfId="24" priority="15">
      <formula>LEN(TRIM(H43))=0</formula>
    </cfRule>
  </conditionalFormatting>
  <conditionalFormatting sqref="I43:I72">
    <cfRule type="containsBlanks" dxfId="23" priority="13">
      <formula>LEN(TRIM(I43))=0</formula>
    </cfRule>
  </conditionalFormatting>
  <conditionalFormatting sqref="H76:H100">
    <cfRule type="containsBlanks" dxfId="20" priority="11">
      <formula>LEN(TRIM(H76))=0</formula>
    </cfRule>
  </conditionalFormatting>
  <conditionalFormatting sqref="I76:I100">
    <cfRule type="containsBlanks" dxfId="19" priority="9">
      <formula>LEN(TRIM(I76))=0</formula>
    </cfRule>
  </conditionalFormatting>
  <conditionalFormatting sqref="H104:H124">
    <cfRule type="containsBlanks" dxfId="16" priority="7">
      <formula>LEN(TRIM(H104))=0</formula>
    </cfRule>
  </conditionalFormatting>
  <conditionalFormatting sqref="I104:I124">
    <cfRule type="containsBlanks" dxfId="15" priority="5">
      <formula>LEN(TRIM(I104))=0</formula>
    </cfRule>
  </conditionalFormatting>
  <dataValidations count="8">
    <dataValidation allowBlank="1" showInputMessage="1" showErrorMessage="1" errorTitle="Suspicious Value" error="Please enter span values in kilofeet!" sqref="B8:D39 B43:D72 B76:D100 B104:D124" xr:uid="{BAE9CBC3-3052-4969-A0A8-F7E90D37B220}"/>
    <dataValidation type="list" allowBlank="1" showInputMessage="1" showErrorMessage="1" sqref="G8:G39 G43:G72 G76:G100 G104:G124" xr:uid="{A16F5BE6-BF4B-4EA4-9392-95D236E94862}">
      <formula1>"No,Yes"</formula1>
    </dataValidation>
    <dataValidation type="list" allowBlank="1" showInputMessage="1" showErrorMessage="1" sqref="E2" xr:uid="{C0340CD3-29A0-4151-B8A5-E170FEB88E00}">
      <formula1>OLT</formula1>
    </dataValidation>
    <dataValidation type="list" allowBlank="1" showInputMessage="1" showErrorMessage="1" sqref="H5" xr:uid="{2A551CFA-E7DA-45BE-8257-4CD53AE0A6F4}">
      <formula1>"Direct,Spliced,APC,MPO,MPT,UPC"</formula1>
    </dataValidation>
    <dataValidation type="list" allowBlank="1" showInputMessage="1" showErrorMessage="1" sqref="G8:G39 G43:G72 G76:G100 G104:G124" xr:uid="{191BF3A4-194F-448B-8327-EB12225DEE1A}">
      <formula1>"Y,N"</formula1>
    </dataValidation>
    <dataValidation type="list" allowBlank="1" showInputMessage="1" showErrorMessage="1" sqref="J5" xr:uid="{0B4EB9FE-3854-4EC0-A728-98ADDF0C2C6C}">
      <formula1>"Average,Maximum"</formula1>
    </dataValidation>
    <dataValidation type="list" allowBlank="1" showInputMessage="1" showErrorMessage="1" sqref="J2" xr:uid="{E79212E3-7C58-4234-84C8-D11BE430CECE}">
      <formula1>"1x4,1x8,1x16,1x32"</formula1>
    </dataValidation>
    <dataValidation type="list" allowBlank="1" showInputMessage="1" showErrorMessage="1" sqref="F8:F39 F43:F72 F76:F100 F104:F124" xr:uid="{A9CE7CD3-D266-4E98-816F-E4A755C68857}">
      <formula1>Splits</formula1>
    </dataValidation>
  </dataValidations>
  <hyperlinks>
    <hyperlink ref="G10" location="'Splitter 3'!B43" display="Branch 1" xr:uid="{A139E3DB-500B-4FDE-80DD-E152D35A106F}"/>
    <hyperlink ref="C41" location="'Splitter 3'!G10" display="^ Back to Source ^" xr:uid="{F151692C-5735-47B2-B07D-544D1A6545BC}"/>
    <hyperlink ref="G46" location="'Splitter 3'!B76" display="Branch 2" xr:uid="{BE48C551-5BDD-46CA-9886-05DE80C9583E}"/>
    <hyperlink ref="C74" location="'Splitter 3'!G46" display="^ Back to Source ^" xr:uid="{76EE3925-E41C-4D25-A20E-0085A9D958A5}"/>
    <hyperlink ref="G13" location="'Splitter 3'!B104" display="Branch 3" xr:uid="{7AD9D91D-03E8-4290-9E46-7B684EBB88E2}"/>
    <hyperlink ref="C102" location="'Splitter 3'!G13" display="^ Back to Source ^" xr:uid="{618E7097-25FB-4566-8077-7A477BA1490B}"/>
  </hyperlinks>
  <pageMargins left="0.25" right="0.25" top="0.75" bottom="0.75" header="0.3" footer="0.3"/>
  <pageSetup scale="35" orientation="portrait" r:id="rId1"/>
  <headerFooter>
    <oddFooter>&amp;L&amp;1#&amp;"Calibri"&amp;8&amp;K000000Sensitivity: Internal</oddFooter>
  </headerFooter>
  <drawing r:id="rId2"/>
  <legacyDrawing r:id="rId3"/>
  <controls>
    <mc:AlternateContent xmlns:mc="http://schemas.openxmlformats.org/markup-compatibility/2006">
      <mc:Choice Requires="x14">
        <control shapeId="51202" r:id="rId4" name="CommandButton3">
          <controlPr locked="0" defaultSize="0" autoLine="0" r:id="rId5">
            <anchor moveWithCells="1">
              <from>
                <xdr:col>3</xdr:col>
                <xdr:colOff>66675</xdr:colOff>
                <xdr:row>4</xdr:row>
                <xdr:rowOff>28575</xdr:rowOff>
              </from>
              <to>
                <xdr:col>4</xdr:col>
                <xdr:colOff>266700</xdr:colOff>
                <xdr:row>5</xdr:row>
                <xdr:rowOff>180975</xdr:rowOff>
              </to>
            </anchor>
          </controlPr>
        </control>
      </mc:Choice>
      <mc:Fallback>
        <control shapeId="51202" r:id="rId4" name="CommandButton3"/>
      </mc:Fallback>
    </mc:AlternateContent>
    <mc:AlternateContent xmlns:mc="http://schemas.openxmlformats.org/markup-compatibility/2006">
      <mc:Choice Requires="x14">
        <control shapeId="51201" r:id="rId6" name="CommandButton1">
          <controlPr locked="0" defaultSize="0" autoLine="0" r:id="rId7">
            <anchor moveWithCells="1">
              <from>
                <xdr:col>4</xdr:col>
                <xdr:colOff>295275</xdr:colOff>
                <xdr:row>4</xdr:row>
                <xdr:rowOff>28575</xdr:rowOff>
              </from>
              <to>
                <xdr:col>5</xdr:col>
                <xdr:colOff>552450</xdr:colOff>
                <xdr:row>5</xdr:row>
                <xdr:rowOff>180975</xdr:rowOff>
              </to>
            </anchor>
          </controlPr>
        </control>
      </mc:Choice>
      <mc:Fallback>
        <control shapeId="51201" r:id="rId6"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cellIs" priority="21" operator="lessThan" id="{0E60135C-C1AD-40A0-AB9A-D549C2745701}">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H8:H39</xm:sqref>
        </x14:conditionalFormatting>
        <x14:conditionalFormatting xmlns:xm="http://schemas.microsoft.com/office/excel/2006/main">
          <x14:cfRule type="cellIs" priority="19" operator="notBetween" id="{CF0C7266-A5E7-45CE-BE33-120CB1A6B87A}">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I8:I39</xm:sqref>
        </x14:conditionalFormatting>
        <x14:conditionalFormatting xmlns:xm="http://schemas.microsoft.com/office/excel/2006/main">
          <x14:cfRule type="cellIs" priority="16" operator="lessThan" id="{FFB448BA-B791-4320-86ED-0677EC5445A4}">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H43:H72</xm:sqref>
        </x14:conditionalFormatting>
        <x14:conditionalFormatting xmlns:xm="http://schemas.microsoft.com/office/excel/2006/main">
          <x14:cfRule type="cellIs" priority="14" operator="notBetween" id="{97A6E6BB-7BCA-4D45-8E42-74055276A5E6}">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I43:I72</xm:sqref>
        </x14:conditionalFormatting>
        <x14:conditionalFormatting xmlns:xm="http://schemas.microsoft.com/office/excel/2006/main">
          <x14:cfRule type="cellIs" priority="12" operator="lessThan" id="{F3708EAE-5CF6-4072-A272-D2EEF334CC75}">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H76:H100</xm:sqref>
        </x14:conditionalFormatting>
        <x14:conditionalFormatting xmlns:xm="http://schemas.microsoft.com/office/excel/2006/main">
          <x14:cfRule type="cellIs" priority="10" operator="notBetween" id="{DB40D048-2AB0-408B-A5FA-968A49A5EDBA}">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I76:I100</xm:sqref>
        </x14:conditionalFormatting>
        <x14:conditionalFormatting xmlns:xm="http://schemas.microsoft.com/office/excel/2006/main">
          <x14:cfRule type="cellIs" priority="8" operator="lessThan" id="{22D159FB-7A08-40DE-A9A5-D5D8C03A7BED}">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H104:H124</xm:sqref>
        </x14:conditionalFormatting>
        <x14:conditionalFormatting xmlns:xm="http://schemas.microsoft.com/office/excel/2006/main">
          <x14:cfRule type="cellIs" priority="6" operator="notBetween" id="{3C03D5F2-22AC-40DD-815C-A098AC936C39}">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I104:I124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1E1EA86C-211C-4E73-B8B9-C7C667CB2A75}">
          <x14:formula1>
            <xm:f>Standards!$B$46:$B$52</xm:f>
          </x14:formula1>
          <xm:sqref>E9:E39 E44:E72 E77:E100 E105:E124</xm:sqref>
        </x14:dataValidation>
        <x14:dataValidation type="list" allowBlank="1" showInputMessage="1" showErrorMessage="1" xr:uid="{0B2F2F9D-7521-4DB0-8856-1AB0837C962C}">
          <x14:formula1>
            <xm:f>Standards!$B$46:$B$53</xm:f>
          </x14:formula1>
          <xm:sqref>E8 E43 E76 E104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B4CB4-705B-4232-BF0C-2F25B325EC33}">
  <sheetPr>
    <pageSetUpPr fitToPage="1"/>
  </sheetPr>
  <dimension ref="A1:G1"/>
  <sheetViews>
    <sheetView showGridLines="0" zoomScale="85" zoomScaleNormal="85" workbookViewId="0">
      <selection activeCell="L25" sqref="L25:M25"/>
    </sheetView>
  </sheetViews>
  <sheetFormatPr defaultRowHeight="15" customHeight="1" x14ac:dyDescent="0.25"/>
  <sheetData>
    <row r="1" spans="1:7" s="10" customFormat="1" ht="30" customHeight="1" x14ac:dyDescent="0.3">
      <c r="A1" s="10" t="s">
        <v>135</v>
      </c>
      <c r="B1" s="10" t="s">
        <v>167</v>
      </c>
      <c r="F1" s="10" t="s">
        <v>199</v>
      </c>
      <c r="G1" s="10">
        <v>72</v>
      </c>
    </row>
  </sheetData>
  <pageMargins left="0.25" right="0.25" top="0.75" bottom="0.75" header="0.3" footer="0.3"/>
  <pageSetup scale="53" orientation="portrait" r:id="rId1"/>
  <headerFooter>
    <oddFooter>&amp;L&amp;1#&amp;"Calibri"&amp;8&amp;K000000Sensitivity: Internal</oddFooter>
  </headerFooter>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E5CEF-0614-422E-B9EC-F73DB20C0184}">
  <sheetPr codeName="Sheet13">
    <pageSetUpPr fitToPage="1"/>
  </sheetPr>
  <dimension ref="A1:Z100"/>
  <sheetViews>
    <sheetView showGridLines="0" workbookViewId="0">
      <pane ySplit="7" topLeftCell="A8" activePane="bottomLeft" state="frozen"/>
      <selection activeCell="L25" sqref="L25:M25"/>
      <selection pane="bottomLeft" activeCell="L25" sqref="L25:M25"/>
    </sheetView>
  </sheetViews>
  <sheetFormatPr defaultRowHeight="15" x14ac:dyDescent="0.25"/>
  <cols>
    <col min="1" max="1" width="10.42578125" customWidth="1"/>
    <col min="2" max="2" width="10.85546875" style="22" customWidth="1"/>
    <col min="3" max="3" width="15.140625" style="22" customWidth="1"/>
    <col min="4" max="4" width="8.85546875" style="9" bestFit="1" customWidth="1"/>
    <col min="5" max="5" width="10.42578125" bestFit="1" customWidth="1"/>
    <col min="6" max="6" width="9.5703125" customWidth="1"/>
    <col min="7" max="7" width="11.28515625" bestFit="1" customWidth="1"/>
    <col min="8" max="8" width="13.28515625" customWidth="1"/>
    <col min="9" max="9" width="12.140625" customWidth="1"/>
    <col min="10" max="10" width="13.28515625" style="7" bestFit="1" customWidth="1"/>
    <col min="11" max="11" width="19.7109375" customWidth="1"/>
    <col min="12" max="12" width="16.28515625" customWidth="1"/>
    <col min="13" max="13" width="14.7109375" bestFit="1" customWidth="1"/>
    <col min="14" max="14" width="9.5703125" style="7" hidden="1" customWidth="1"/>
    <col min="15" max="15" width="9" style="8" hidden="1" customWidth="1"/>
    <col min="16" max="16" width="8.28515625" style="8" hidden="1" customWidth="1"/>
    <col min="17" max="18" width="16.5703125" style="8" hidden="1" customWidth="1"/>
    <col min="19" max="19" width="8.42578125" style="8" hidden="1" customWidth="1"/>
    <col min="20" max="26" width="9.140625" style="59"/>
  </cols>
  <sheetData>
    <row r="1" spans="1:26" ht="62.25" customHeight="1" x14ac:dyDescent="0.3">
      <c r="A1" s="75" t="s">
        <v>125</v>
      </c>
      <c r="B1" s="76"/>
      <c r="C1" s="77"/>
      <c r="D1" s="49"/>
      <c r="E1" s="24" t="s">
        <v>126</v>
      </c>
      <c r="F1" s="24" t="s">
        <v>127</v>
      </c>
      <c r="G1" s="24" t="s">
        <v>128</v>
      </c>
      <c r="H1" s="24" t="s">
        <v>129</v>
      </c>
      <c r="I1" s="24" t="s">
        <v>130</v>
      </c>
      <c r="J1" s="24" t="s">
        <v>131</v>
      </c>
      <c r="K1" s="24" t="s">
        <v>132</v>
      </c>
      <c r="L1" s="24" t="s">
        <v>133</v>
      </c>
      <c r="M1" s="24" t="s">
        <v>134</v>
      </c>
      <c r="O1" s="7"/>
      <c r="P1" s="7"/>
      <c r="Q1" s="7"/>
      <c r="R1" s="7"/>
    </row>
    <row r="2" spans="1:26" ht="18" customHeight="1" x14ac:dyDescent="0.25">
      <c r="A2" s="29" t="s">
        <v>135</v>
      </c>
      <c r="B2" s="78" t="s">
        <v>167</v>
      </c>
      <c r="C2" s="79"/>
      <c r="D2" s="80"/>
      <c r="E2" s="26" t="s">
        <v>57</v>
      </c>
      <c r="F2" s="28">
        <f>VLOOKUP(E2,Standards!B3:C7,2,FALSE)</f>
        <v>3.25</v>
      </c>
      <c r="G2" s="25">
        <v>1</v>
      </c>
      <c r="H2" s="42">
        <v>2</v>
      </c>
      <c r="I2" s="41">
        <v>200</v>
      </c>
      <c r="J2" s="32" t="s">
        <v>79</v>
      </c>
      <c r="K2" s="32">
        <v>2</v>
      </c>
      <c r="L2" s="38">
        <f>F2-(G2*Standards!D14)-(H2*Standards!D13)-(I2*Standards!D15)-VLOOKUP(J2,LS_Loss,2,FALSE)-(VLOOKUP(H5,Losses,3,FALSE)*I5)</f>
        <v>-9.9407263993367554</v>
      </c>
      <c r="M2" s="37" t="s">
        <v>136</v>
      </c>
      <c r="O2" s="7"/>
      <c r="P2" s="7"/>
      <c r="Q2" s="7"/>
      <c r="R2" s="7"/>
    </row>
    <row r="3" spans="1:26" s="4" customFormat="1" ht="15" customHeight="1" x14ac:dyDescent="0.25">
      <c r="A3" s="88" t="s">
        <v>137</v>
      </c>
      <c r="B3" s="81"/>
      <c r="C3" s="82"/>
      <c r="D3" s="82"/>
      <c r="E3" s="82"/>
      <c r="F3" s="82"/>
      <c r="G3" s="83"/>
      <c r="H3" s="88" t="s">
        <v>138</v>
      </c>
      <c r="I3" s="88" t="s">
        <v>166</v>
      </c>
      <c r="J3" s="44"/>
      <c r="K3" s="87" t="s">
        <v>140</v>
      </c>
      <c r="L3" s="87" t="s">
        <v>141</v>
      </c>
      <c r="M3" s="14" t="s">
        <v>142</v>
      </c>
      <c r="T3" s="60"/>
      <c r="U3" s="60"/>
      <c r="V3" s="60"/>
      <c r="W3" s="60"/>
      <c r="X3" s="60"/>
      <c r="Y3" s="60"/>
      <c r="Z3" s="60"/>
    </row>
    <row r="4" spans="1:26" s="4" customFormat="1" ht="15" customHeight="1" x14ac:dyDescent="0.25">
      <c r="A4" s="88"/>
      <c r="B4" s="84"/>
      <c r="C4" s="85"/>
      <c r="D4" s="85"/>
      <c r="E4" s="85"/>
      <c r="F4" s="85"/>
      <c r="G4" s="86"/>
      <c r="H4" s="88"/>
      <c r="I4" s="89"/>
      <c r="J4" s="45" t="s">
        <v>143</v>
      </c>
      <c r="K4" s="87"/>
      <c r="L4" s="87"/>
      <c r="M4" s="12" t="s">
        <v>144</v>
      </c>
      <c r="T4" s="60"/>
      <c r="U4" s="60"/>
      <c r="V4" s="60"/>
      <c r="W4" s="60"/>
      <c r="X4" s="60"/>
      <c r="Y4" s="60"/>
      <c r="Z4" s="60"/>
    </row>
    <row r="5" spans="1:26" x14ac:dyDescent="0.25">
      <c r="A5" s="5"/>
      <c r="B5" s="46" t="s">
        <v>145</v>
      </c>
      <c r="C5" s="47" t="s">
        <v>146</v>
      </c>
      <c r="D5"/>
      <c r="H5" s="48" t="s">
        <v>71</v>
      </c>
      <c r="I5" s="43">
        <v>0</v>
      </c>
      <c r="J5" s="43" t="s">
        <v>108</v>
      </c>
      <c r="K5" s="43">
        <v>1500</v>
      </c>
      <c r="L5" s="43">
        <v>2</v>
      </c>
      <c r="M5" s="24" t="s">
        <v>147</v>
      </c>
      <c r="N5" s="4"/>
      <c r="O5" s="4"/>
      <c r="P5" s="4"/>
      <c r="Q5" s="7"/>
      <c r="R5" s="7"/>
    </row>
    <row r="6" spans="1:26" x14ac:dyDescent="0.25">
      <c r="A6" s="29" t="s">
        <v>148</v>
      </c>
      <c r="B6" s="30">
        <f>SUM(B8:B100)</f>
        <v>17823</v>
      </c>
      <c r="C6" s="31">
        <f>SUM(F8:F100)</f>
        <v>28</v>
      </c>
      <c r="D6"/>
      <c r="E6" s="7"/>
      <c r="I6" s="7"/>
      <c r="J6"/>
      <c r="M6" s="27">
        <v>1</v>
      </c>
      <c r="N6" s="4"/>
      <c r="O6" s="4"/>
      <c r="P6" s="4"/>
      <c r="Q6" s="8" t="s">
        <v>149</v>
      </c>
      <c r="R6" s="8" t="s">
        <v>150</v>
      </c>
    </row>
    <row r="7" spans="1:26" s="7" customFormat="1" ht="40.5" customHeight="1" x14ac:dyDescent="0.25">
      <c r="A7" s="20" t="s">
        <v>151</v>
      </c>
      <c r="B7" s="21" t="s">
        <v>152</v>
      </c>
      <c r="C7" s="21" t="s">
        <v>153</v>
      </c>
      <c r="D7" s="19" t="s">
        <v>154</v>
      </c>
      <c r="E7" s="19" t="s">
        <v>155</v>
      </c>
      <c r="F7" s="19" t="s">
        <v>156</v>
      </c>
      <c r="G7" s="19" t="s">
        <v>157</v>
      </c>
      <c r="H7" s="19" t="s">
        <v>158</v>
      </c>
      <c r="I7" s="19" t="s">
        <v>159</v>
      </c>
      <c r="J7" s="19" t="s">
        <v>87</v>
      </c>
      <c r="K7" s="20" t="s">
        <v>160</v>
      </c>
      <c r="L7" s="19" t="s">
        <v>161</v>
      </c>
      <c r="M7" s="20" t="s">
        <v>162</v>
      </c>
      <c r="N7" s="8" t="s">
        <v>163</v>
      </c>
      <c r="O7" s="8" t="s">
        <v>164</v>
      </c>
      <c r="P7" s="8" t="s">
        <v>165</v>
      </c>
      <c r="Q7" s="7">
        <v>0</v>
      </c>
      <c r="R7" s="7">
        <v>0</v>
      </c>
      <c r="S7" s="36"/>
      <c r="T7" s="61"/>
      <c r="U7" s="61"/>
      <c r="V7" s="61"/>
      <c r="W7" s="61"/>
      <c r="X7" s="61"/>
      <c r="Y7" s="61"/>
      <c r="Z7" s="61"/>
    </row>
    <row r="8" spans="1:26" x14ac:dyDescent="0.25">
      <c r="A8" s="35">
        <v>1</v>
      </c>
      <c r="B8" s="34">
        <v>120</v>
      </c>
      <c r="C8" s="50" t="s">
        <v>168</v>
      </c>
      <c r="D8" s="51" t="s">
        <v>169</v>
      </c>
      <c r="E8" s="18" t="s">
        <v>91</v>
      </c>
      <c r="F8" s="13">
        <v>0</v>
      </c>
      <c r="G8" s="40"/>
      <c r="H8" s="6">
        <f>IF(F8="","",N8-VLOOKUP(F8,Parts!A:F,6,FALSE))</f>
        <v>-9.9881622389388092</v>
      </c>
      <c r="I8" s="6" t="str">
        <f>IF(F8="","",IF(F8=0,"",H8-(Standards!D$14*L$5)-(Standards!D$15*K$5)))</f>
        <v/>
      </c>
      <c r="J8" s="12" t="str">
        <f>IF(F8="","",VLOOKUP(F8,Parts!A:J,10,FALSE))</f>
        <v>N/A</v>
      </c>
      <c r="K8" s="12" t="str">
        <f>IF(F8="","",VLOOKUP(F8,Parts!A:N,14,FALSE))</f>
        <v>N/A</v>
      </c>
      <c r="L8" s="33"/>
      <c r="M8" s="33"/>
      <c r="N8" s="8">
        <f t="shared" ref="N8:N39" si="0">IF(F8="","",L$2-Q8-R8)</f>
        <v>-9.9881622389388092</v>
      </c>
      <c r="O8" s="8">
        <f t="shared" ref="O8:O39" si="1">VLOOKUP(H$5,Losses,3,FALSE)</f>
        <v>3.5000000000000003E-2</v>
      </c>
      <c r="P8" s="8">
        <f>IF(F8="","",N8-O8)</f>
        <v>-10.023162238938809</v>
      </c>
      <c r="Q8" s="8">
        <f>(B8*Standards!D$15)+Q7</f>
        <v>1.243583960205312E-2</v>
      </c>
      <c r="R8" s="8">
        <f t="shared" ref="R8:R39" si="2">IF(F8&lt;&gt;"",VLOOKUP(H$5,Losses,3,FALSE)+R7,R7)</f>
        <v>3.5000000000000003E-2</v>
      </c>
    </row>
    <row r="9" spans="1:26" x14ac:dyDescent="0.25">
      <c r="A9" s="35">
        <v>2</v>
      </c>
      <c r="B9" s="34">
        <v>706</v>
      </c>
      <c r="C9" s="50" t="s">
        <v>168</v>
      </c>
      <c r="D9" s="51" t="s">
        <v>173</v>
      </c>
      <c r="E9" s="16" t="s">
        <v>91</v>
      </c>
      <c r="F9" s="13">
        <v>0</v>
      </c>
      <c r="G9" s="55"/>
      <c r="H9" s="6">
        <f>IF(F9="","",N9-VLOOKUP(F9,Parts!A:F,6,FALSE))</f>
        <v>-10.096326428597555</v>
      </c>
      <c r="I9" s="6" t="str">
        <f>IF(F9="","",IF(F9=0,"",H9-(Standards!D$14*L$5)-(Standards!D$15*K$5)))</f>
        <v/>
      </c>
      <c r="J9" s="12" t="str">
        <f>IF(F9="","",VLOOKUP(F9,Parts!A:J,10,FALSE))</f>
        <v>N/A</v>
      </c>
      <c r="K9" s="12" t="str">
        <f>IF(F9="","",VLOOKUP(F9,Parts!A:N,14,FALSE))</f>
        <v>N/A</v>
      </c>
      <c r="L9" s="33"/>
      <c r="M9" s="33"/>
      <c r="N9" s="8">
        <f t="shared" si="0"/>
        <v>-10.096326428597555</v>
      </c>
      <c r="O9" s="8">
        <f t="shared" si="1"/>
        <v>3.5000000000000003E-2</v>
      </c>
      <c r="P9" s="8">
        <f t="shared" ref="P9:P39" si="3">IF(F9="","",N9-O9)</f>
        <v>-10.131326428597555</v>
      </c>
      <c r="Q9" s="8">
        <f>(B9*Standards!D$15)+Q8</f>
        <v>8.5600029260798974E-2</v>
      </c>
      <c r="R9" s="8">
        <f t="shared" si="2"/>
        <v>7.0000000000000007E-2</v>
      </c>
    </row>
    <row r="10" spans="1:26" x14ac:dyDescent="0.25">
      <c r="A10" s="35">
        <v>3</v>
      </c>
      <c r="B10" s="34">
        <v>1703</v>
      </c>
      <c r="C10" s="50" t="s">
        <v>168</v>
      </c>
      <c r="D10" s="51" t="s">
        <v>206</v>
      </c>
      <c r="E10" s="17" t="s">
        <v>91</v>
      </c>
      <c r="F10" s="13">
        <v>0</v>
      </c>
      <c r="G10" s="40"/>
      <c r="H10" s="6">
        <f>IF(F10="","",N10-VLOOKUP(F10,Parts!A:F,6,FALSE))</f>
        <v>-10.307811718950026</v>
      </c>
      <c r="I10" s="6" t="str">
        <f>IF(F10="","",IF(F10=0,"",H10-(Standards!D$14*L$5)-(Standards!D$15*K$5)))</f>
        <v/>
      </c>
      <c r="J10" s="12" t="str">
        <f>IF(F10="","",VLOOKUP(F10,Parts!A:J,10,FALSE))</f>
        <v>N/A</v>
      </c>
      <c r="K10" s="12" t="str">
        <f>IF(F10="","",VLOOKUP(F10,Parts!A:N,14,FALSE))</f>
        <v>N/A</v>
      </c>
      <c r="L10" s="33"/>
      <c r="M10" s="33"/>
      <c r="N10" s="8">
        <f t="shared" si="0"/>
        <v>-10.307811718950026</v>
      </c>
      <c r="O10" s="8">
        <f t="shared" si="1"/>
        <v>3.5000000000000003E-2</v>
      </c>
      <c r="P10" s="8">
        <f t="shared" si="3"/>
        <v>-10.342811718950026</v>
      </c>
      <c r="Q10" s="8">
        <f>(B10*Standards!D$15)+Q9</f>
        <v>0.26208531961326947</v>
      </c>
      <c r="R10" s="8">
        <f t="shared" si="2"/>
        <v>0.10500000000000001</v>
      </c>
    </row>
    <row r="11" spans="1:26" x14ac:dyDescent="0.25">
      <c r="A11" s="35">
        <v>4</v>
      </c>
      <c r="B11" s="34">
        <v>4236</v>
      </c>
      <c r="C11" s="50" t="s">
        <v>168</v>
      </c>
      <c r="D11" s="51" t="s">
        <v>234</v>
      </c>
      <c r="E11" s="16" t="s">
        <v>91</v>
      </c>
      <c r="F11" s="13">
        <v>0</v>
      </c>
      <c r="G11" s="55" t="s">
        <v>189</v>
      </c>
      <c r="H11" s="6">
        <f>IF(F11="","",N11-VLOOKUP(F11,Parts!A:F,6,FALSE))</f>
        <v>-10.781796856902501</v>
      </c>
      <c r="I11" s="6" t="str">
        <f>IF(F11="","",IF(F11=0,"",H11-(Standards!D$14*L$5)-(Standards!D$15*K$5)))</f>
        <v/>
      </c>
      <c r="J11" s="12" t="str">
        <f>IF(F11="","",VLOOKUP(F11,Parts!A:J,10,FALSE))</f>
        <v>N/A</v>
      </c>
      <c r="K11" s="12" t="str">
        <f>IF(F11="","",VLOOKUP(F11,Parts!A:N,14,FALSE))</f>
        <v>N/A</v>
      </c>
      <c r="L11" s="33"/>
      <c r="M11" s="33"/>
      <c r="N11" s="8">
        <f t="shared" si="0"/>
        <v>-10.781796856902501</v>
      </c>
      <c r="O11" s="8">
        <f t="shared" si="1"/>
        <v>3.5000000000000003E-2</v>
      </c>
      <c r="P11" s="8">
        <f t="shared" si="3"/>
        <v>-10.816796856902501</v>
      </c>
      <c r="Q11" s="8">
        <f>(B11*Standards!D$15)+Q10</f>
        <v>0.7010704575657446</v>
      </c>
      <c r="R11" s="8">
        <f t="shared" si="2"/>
        <v>0.14000000000000001</v>
      </c>
      <c r="S11" s="8" t="s">
        <v>189</v>
      </c>
    </row>
    <row r="12" spans="1:26" x14ac:dyDescent="0.25">
      <c r="A12" s="35">
        <v>5</v>
      </c>
      <c r="B12" s="34">
        <v>2675</v>
      </c>
      <c r="C12" s="50" t="s">
        <v>168</v>
      </c>
      <c r="D12" s="51" t="s">
        <v>236</v>
      </c>
      <c r="E12" s="16" t="s">
        <v>91</v>
      </c>
      <c r="F12" s="13">
        <v>0</v>
      </c>
      <c r="G12" s="55" t="s">
        <v>195</v>
      </c>
      <c r="H12" s="6">
        <f>IF(F12="","",N12-VLOOKUP(F12,Parts!A:F,6,FALSE))</f>
        <v>-11.094012448031602</v>
      </c>
      <c r="I12" s="6" t="str">
        <f>IF(F12="","",IF(F12=0,"",H12-(Standards!D$14*L$5)-(Standards!D$15*K$5)))</f>
        <v/>
      </c>
      <c r="J12" s="12" t="str">
        <f>IF(F12="","",VLOOKUP(F12,Parts!A:J,10,FALSE))</f>
        <v>N/A</v>
      </c>
      <c r="K12" s="12" t="str">
        <f>IF(F12="","",VLOOKUP(F12,Parts!A:N,14,FALSE))</f>
        <v>N/A</v>
      </c>
      <c r="L12" s="33" t="s">
        <v>336</v>
      </c>
      <c r="M12" s="33" t="s">
        <v>337</v>
      </c>
      <c r="N12" s="8">
        <f t="shared" si="0"/>
        <v>-11.094012448031602</v>
      </c>
      <c r="O12" s="8">
        <f t="shared" si="1"/>
        <v>3.5000000000000003E-2</v>
      </c>
      <c r="P12" s="8">
        <f t="shared" si="3"/>
        <v>-11.129012448031602</v>
      </c>
      <c r="Q12" s="8">
        <f>(B12*Standards!D$15)+Q11</f>
        <v>0.97828604869484537</v>
      </c>
      <c r="R12" s="8">
        <f t="shared" si="2"/>
        <v>0.17500000000000002</v>
      </c>
      <c r="S12" s="8" t="s">
        <v>195</v>
      </c>
    </row>
    <row r="13" spans="1:26" x14ac:dyDescent="0.25">
      <c r="A13" s="35">
        <v>6</v>
      </c>
      <c r="B13" s="34">
        <f>553+100</f>
        <v>653</v>
      </c>
      <c r="C13" s="50" t="s">
        <v>168</v>
      </c>
      <c r="D13" s="51" t="s">
        <v>238</v>
      </c>
      <c r="E13" s="16" t="s">
        <v>91</v>
      </c>
      <c r="F13" s="13">
        <v>4</v>
      </c>
      <c r="G13" s="56"/>
      <c r="H13" s="6">
        <f>IF(F13="","",N13-VLOOKUP(F13,Parts!A:F,6,FALSE))</f>
        <v>-18.43668414186611</v>
      </c>
      <c r="I13" s="6">
        <f>IF(F13="","",IF(F13=0,"",H13-(Standards!D$14*L$5)-(Standards!D$15*K$5)))</f>
        <v>-18.792132136891773</v>
      </c>
      <c r="J13" s="12" t="str">
        <f>IF(F13="","",VLOOKUP(F13,Parts!A:J,10,FALSE))</f>
        <v>USBM1X4</v>
      </c>
      <c r="K13" s="12" t="str">
        <f>IF(F13="","",VLOOKUP(F13,Parts!A:N,14,FALSE))</f>
        <v>PLO-U-104-SCA-SCA</v>
      </c>
      <c r="L13" s="33" t="s">
        <v>338</v>
      </c>
      <c r="M13" s="33" t="s">
        <v>339</v>
      </c>
      <c r="N13" s="8">
        <f t="shared" si="0"/>
        <v>-11.196684141866108</v>
      </c>
      <c r="O13" s="8">
        <f t="shared" si="1"/>
        <v>3.5000000000000003E-2</v>
      </c>
      <c r="P13" s="8">
        <f t="shared" si="3"/>
        <v>-11.231684141866108</v>
      </c>
      <c r="Q13" s="8">
        <f>(B13*Standards!D$15)+Q12</f>
        <v>1.0459577425293511</v>
      </c>
      <c r="R13" s="8">
        <f t="shared" si="2"/>
        <v>0.21000000000000002</v>
      </c>
    </row>
    <row r="14" spans="1:26" x14ac:dyDescent="0.25">
      <c r="A14" s="35">
        <v>7</v>
      </c>
      <c r="B14" s="34">
        <f>2725+200</f>
        <v>2925</v>
      </c>
      <c r="C14" s="50" t="s">
        <v>168</v>
      </c>
      <c r="D14" s="51" t="s">
        <v>239</v>
      </c>
      <c r="E14" s="16" t="s">
        <v>91</v>
      </c>
      <c r="F14" s="13">
        <v>4</v>
      </c>
      <c r="G14" s="56"/>
      <c r="H14" s="6">
        <f>IF(F14="","",N14-VLOOKUP(F14,Parts!A:F,6,FALSE))</f>
        <v>-18.774807732166153</v>
      </c>
      <c r="I14" s="6">
        <f>IF(F14="","",IF(F14=0,"",H14-(Standards!D$14*L$5)-(Standards!D$15*K$5)))</f>
        <v>-19.130255727191816</v>
      </c>
      <c r="J14" s="12" t="str">
        <f>IF(F14="","",VLOOKUP(F14,Parts!A:J,10,FALSE))</f>
        <v>USBM1X4</v>
      </c>
      <c r="K14" s="12" t="str">
        <f>IF(F14="","",VLOOKUP(F14,Parts!A:N,14,FALSE))</f>
        <v>PLO-U-104-SCA-SCA</v>
      </c>
      <c r="L14" s="33" t="s">
        <v>340</v>
      </c>
      <c r="M14" s="33" t="s">
        <v>341</v>
      </c>
      <c r="N14" s="8">
        <f t="shared" si="0"/>
        <v>-11.534807732166151</v>
      </c>
      <c r="O14" s="8">
        <f t="shared" si="1"/>
        <v>3.5000000000000003E-2</v>
      </c>
      <c r="P14" s="8">
        <f t="shared" si="3"/>
        <v>-11.569807732166151</v>
      </c>
      <c r="Q14" s="8">
        <f>(B14*Standards!D$15)+Q13</f>
        <v>1.349081332829396</v>
      </c>
      <c r="R14" s="8">
        <f t="shared" si="2"/>
        <v>0.24500000000000002</v>
      </c>
    </row>
    <row r="15" spans="1:26" x14ac:dyDescent="0.25">
      <c r="A15" s="35">
        <v>8</v>
      </c>
      <c r="B15" s="34">
        <f>750+200</f>
        <v>950</v>
      </c>
      <c r="C15" s="50" t="s">
        <v>168</v>
      </c>
      <c r="D15" s="90" t="s">
        <v>240</v>
      </c>
      <c r="E15" s="16" t="s">
        <v>91</v>
      </c>
      <c r="F15" s="13">
        <v>4</v>
      </c>
      <c r="G15" s="40"/>
      <c r="H15" s="6">
        <f>IF(F15="","",N15-VLOOKUP(F15,Parts!A:F,6,FALSE))</f>
        <v>-18.908258129015739</v>
      </c>
      <c r="I15" s="6">
        <f>IF(F15="","",IF(F15=0,"",H15-(Standards!D$14*L$5)-(Standards!D$15*K$5)))</f>
        <v>-19.263706124041402</v>
      </c>
      <c r="J15" s="12" t="str">
        <f>IF(F15="","",VLOOKUP(F15,Parts!A:J,10,FALSE))</f>
        <v>USBM1X4</v>
      </c>
      <c r="K15" s="12" t="str">
        <f>IF(F15="","",VLOOKUP(F15,Parts!A:N,14,FALSE))</f>
        <v>PLO-U-104-SCA-SCA</v>
      </c>
      <c r="L15" s="33" t="s">
        <v>342</v>
      </c>
      <c r="M15" s="33" t="s">
        <v>343</v>
      </c>
      <c r="N15" s="8">
        <f t="shared" si="0"/>
        <v>-11.668258129015738</v>
      </c>
      <c r="O15" s="8">
        <f t="shared" si="1"/>
        <v>3.5000000000000003E-2</v>
      </c>
      <c r="P15" s="8">
        <f t="shared" si="3"/>
        <v>-11.703258129015738</v>
      </c>
      <c r="Q15" s="8">
        <f>(B15*Standards!D$15)+Q14</f>
        <v>1.4475317296789831</v>
      </c>
      <c r="R15" s="8">
        <f t="shared" si="2"/>
        <v>0.28000000000000003</v>
      </c>
    </row>
    <row r="16" spans="1:26" x14ac:dyDescent="0.25">
      <c r="A16" s="35">
        <v>9</v>
      </c>
      <c r="B16" s="34">
        <f>503+100</f>
        <v>603</v>
      </c>
      <c r="C16" s="50" t="s">
        <v>168</v>
      </c>
      <c r="D16" s="92" t="s">
        <v>241</v>
      </c>
      <c r="E16" s="17" t="s">
        <v>91</v>
      </c>
      <c r="F16" s="13">
        <v>4</v>
      </c>
      <c r="G16" s="40"/>
      <c r="H16" s="6">
        <f>IF(F16="","",N16-VLOOKUP(F16,Parts!A:F,6,FALSE))</f>
        <v>-19.005748223016056</v>
      </c>
      <c r="I16" s="6">
        <f>IF(F16="","",IF(F16=0,"",H16-(Standards!D$14*L$5)-(Standards!D$15*K$5)))</f>
        <v>-19.361196218041719</v>
      </c>
      <c r="J16" s="12" t="str">
        <f>IF(F16="","",VLOOKUP(F16,Parts!A:J,10,FALSE))</f>
        <v>USBM1X4</v>
      </c>
      <c r="K16" s="12" t="str">
        <f>IF(F16="","",VLOOKUP(F16,Parts!A:N,14,FALSE))</f>
        <v>PLO-U-104-SCA-SCA</v>
      </c>
      <c r="L16" s="33" t="s">
        <v>344</v>
      </c>
      <c r="M16" s="33" t="s">
        <v>345</v>
      </c>
      <c r="N16" s="8">
        <f t="shared" si="0"/>
        <v>-11.765748223016056</v>
      </c>
      <c r="O16" s="8">
        <f t="shared" si="1"/>
        <v>3.5000000000000003E-2</v>
      </c>
      <c r="P16" s="8">
        <f t="shared" si="3"/>
        <v>-11.800748223016056</v>
      </c>
      <c r="Q16" s="8">
        <f>(B16*Standards!D$15)+Q15</f>
        <v>1.5100218236793002</v>
      </c>
      <c r="R16" s="8">
        <f t="shared" si="2"/>
        <v>0.31500000000000006</v>
      </c>
    </row>
    <row r="17" spans="1:26" s="8" customFormat="1" x14ac:dyDescent="0.25">
      <c r="A17" s="35">
        <v>10</v>
      </c>
      <c r="B17" s="34"/>
      <c r="C17" s="50"/>
      <c r="D17" s="52"/>
      <c r="E17" s="17"/>
      <c r="F17" s="13"/>
      <c r="G17" s="40"/>
      <c r="H17" s="6" t="str">
        <f>IF(F17="","",N17-VLOOKUP(F17,Parts!A:F,6,FALSE))</f>
        <v/>
      </c>
      <c r="I17" s="6" t="str">
        <f>IF(F17="","",IF(F17=0,"",H17-(Standards!D$14*L$5)-(Standards!D$15*K$5)))</f>
        <v/>
      </c>
      <c r="J17" s="12" t="str">
        <f>IF(F17="","",VLOOKUP(F17,Parts!A:J,10,FALSE))</f>
        <v/>
      </c>
      <c r="K17" s="12" t="str">
        <f>IF(F17="","",VLOOKUP(F17,Parts!A:N,14,FALSE))</f>
        <v/>
      </c>
      <c r="L17" s="33"/>
      <c r="M17" s="33"/>
      <c r="N17" s="8" t="str">
        <f t="shared" si="0"/>
        <v/>
      </c>
      <c r="O17" s="8">
        <f t="shared" si="1"/>
        <v>3.5000000000000003E-2</v>
      </c>
      <c r="P17" s="8" t="str">
        <f t="shared" si="3"/>
        <v/>
      </c>
      <c r="Q17" s="8">
        <f>(B17*Standards!D$15)+Q16</f>
        <v>1.5100218236793002</v>
      </c>
      <c r="R17" s="8">
        <f t="shared" si="2"/>
        <v>0.31500000000000006</v>
      </c>
      <c r="T17" s="59"/>
      <c r="U17" s="59"/>
      <c r="V17" s="59"/>
      <c r="W17" s="59"/>
      <c r="X17" s="59"/>
      <c r="Y17" s="59"/>
      <c r="Z17" s="59"/>
    </row>
    <row r="18" spans="1:26" s="8" customFormat="1" x14ac:dyDescent="0.25">
      <c r="A18" s="35">
        <v>11</v>
      </c>
      <c r="B18" s="34"/>
      <c r="C18" s="50"/>
      <c r="D18" s="51"/>
      <c r="E18" s="18"/>
      <c r="F18" s="13"/>
      <c r="G18" s="40"/>
      <c r="H18" s="6" t="str">
        <f>IF(F18="","",N18-VLOOKUP(F18,Parts!A:F,6,FALSE))</f>
        <v/>
      </c>
      <c r="I18" s="6" t="str">
        <f>IF(F18="","",IF(F18=0,"",H18-(Standards!D$14*L$5)-(Standards!D$15*K$5)))</f>
        <v/>
      </c>
      <c r="J18" s="12" t="str">
        <f>IF(F18="","",VLOOKUP(F18,Parts!A:J,10,FALSE))</f>
        <v/>
      </c>
      <c r="K18" s="12" t="str">
        <f>IF(F18="","",VLOOKUP(F18,Parts!A:N,14,FALSE))</f>
        <v/>
      </c>
      <c r="L18" s="33"/>
      <c r="M18" s="33"/>
      <c r="N18" s="8" t="str">
        <f t="shared" si="0"/>
        <v/>
      </c>
      <c r="O18" s="8">
        <f t="shared" si="1"/>
        <v>3.5000000000000003E-2</v>
      </c>
      <c r="P18" s="8" t="str">
        <f t="shared" si="3"/>
        <v/>
      </c>
      <c r="Q18" s="8">
        <f>(B18*Standards!D$15)+Q17</f>
        <v>1.5100218236793002</v>
      </c>
      <c r="R18" s="8">
        <f t="shared" si="2"/>
        <v>0.31500000000000006</v>
      </c>
      <c r="T18" s="59"/>
      <c r="U18" s="59"/>
      <c r="V18" s="59"/>
      <c r="W18" s="59"/>
      <c r="X18" s="59"/>
      <c r="Y18" s="59"/>
      <c r="Z18" s="59"/>
    </row>
    <row r="19" spans="1:26" s="8" customFormat="1" x14ac:dyDescent="0.25">
      <c r="A19" s="35">
        <v>12</v>
      </c>
      <c r="B19" s="34"/>
      <c r="C19" s="50"/>
      <c r="D19" s="52"/>
      <c r="E19" s="17"/>
      <c r="F19" s="13"/>
      <c r="G19" s="40"/>
      <c r="H19" s="6" t="str">
        <f>IF(F19="","",N19-VLOOKUP(F19,Parts!A:F,6,FALSE))</f>
        <v/>
      </c>
      <c r="I19" s="6" t="str">
        <f>IF(F19="","",IF(F19=0,"",H19-(Standards!D$14*L$5)-(Standards!D$15*K$5)))</f>
        <v/>
      </c>
      <c r="J19" s="12" t="str">
        <f>IF(F19="","",VLOOKUP(F19,Parts!A:J,10,FALSE))</f>
        <v/>
      </c>
      <c r="K19" s="12" t="str">
        <f>IF(F19="","",VLOOKUP(F19,Parts!A:N,14,FALSE))</f>
        <v/>
      </c>
      <c r="L19" s="33"/>
      <c r="M19" s="33"/>
      <c r="N19" s="8" t="str">
        <f t="shared" si="0"/>
        <v/>
      </c>
      <c r="O19" s="8">
        <f t="shared" si="1"/>
        <v>3.5000000000000003E-2</v>
      </c>
      <c r="P19" s="8" t="str">
        <f t="shared" si="3"/>
        <v/>
      </c>
      <c r="Q19" s="8">
        <f>(B19*Standards!D$15)+Q18</f>
        <v>1.5100218236793002</v>
      </c>
      <c r="R19" s="8">
        <f t="shared" si="2"/>
        <v>0.31500000000000006</v>
      </c>
      <c r="T19" s="59"/>
      <c r="U19" s="59"/>
      <c r="V19" s="59"/>
      <c r="W19" s="59"/>
      <c r="X19" s="59"/>
      <c r="Y19" s="59"/>
      <c r="Z19" s="59"/>
    </row>
    <row r="20" spans="1:26" s="8" customFormat="1" x14ac:dyDescent="0.25">
      <c r="A20" s="35">
        <v>13</v>
      </c>
      <c r="B20" s="34"/>
      <c r="C20" s="50"/>
      <c r="D20" s="53"/>
      <c r="E20" s="16"/>
      <c r="F20" s="13"/>
      <c r="G20" s="40"/>
      <c r="H20" s="6" t="str">
        <f>IF(F20="","",N20-VLOOKUP(F20,Parts!A:F,6,FALSE))</f>
        <v/>
      </c>
      <c r="I20" s="6" t="str">
        <f>IF(F20="","",IF(F20=0,"",H20-(Standards!D$14*L$5)-(Standards!D$15*K$5)))</f>
        <v/>
      </c>
      <c r="J20" s="12" t="str">
        <f>IF(F20="","",VLOOKUP(F20,Parts!A:J,10,FALSE))</f>
        <v/>
      </c>
      <c r="K20" s="12" t="str">
        <f>IF(F20="","",VLOOKUP(F20,Parts!A:N,14,FALSE))</f>
        <v/>
      </c>
      <c r="L20" s="33"/>
      <c r="M20" s="33"/>
      <c r="N20" s="8" t="str">
        <f t="shared" si="0"/>
        <v/>
      </c>
      <c r="O20" s="8">
        <f t="shared" si="1"/>
        <v>3.5000000000000003E-2</v>
      </c>
      <c r="P20" s="8" t="str">
        <f t="shared" si="3"/>
        <v/>
      </c>
      <c r="Q20" s="8">
        <f>(B20*Standards!D$15)+Q19</f>
        <v>1.5100218236793002</v>
      </c>
      <c r="R20" s="8">
        <f t="shared" si="2"/>
        <v>0.31500000000000006</v>
      </c>
      <c r="T20" s="59"/>
      <c r="U20" s="59"/>
      <c r="V20" s="59"/>
      <c r="W20" s="59"/>
      <c r="X20" s="59"/>
      <c r="Y20" s="59"/>
      <c r="Z20" s="59"/>
    </row>
    <row r="21" spans="1:26" s="8" customFormat="1" x14ac:dyDescent="0.25">
      <c r="A21" s="35">
        <v>14</v>
      </c>
      <c r="B21" s="34"/>
      <c r="C21" s="50"/>
      <c r="D21" s="53"/>
      <c r="E21" s="16"/>
      <c r="F21" s="13"/>
      <c r="G21" s="40"/>
      <c r="H21" s="6" t="str">
        <f>IF(F21="","",N21-VLOOKUP(F21,Parts!A:F,6,FALSE))</f>
        <v/>
      </c>
      <c r="I21" s="6" t="str">
        <f>IF(F21="","",IF(F21=0,"",H21-(Standards!D$14*L$5)-(Standards!D$15*K$5)))</f>
        <v/>
      </c>
      <c r="J21" s="12" t="str">
        <f>IF(F21="","",VLOOKUP(F21,Parts!A:J,10,FALSE))</f>
        <v/>
      </c>
      <c r="K21" s="12" t="str">
        <f>IF(F21="","",VLOOKUP(F21,Parts!A:N,14,FALSE))</f>
        <v/>
      </c>
      <c r="L21" s="33"/>
      <c r="M21" s="33"/>
      <c r="N21" s="8" t="str">
        <f t="shared" si="0"/>
        <v/>
      </c>
      <c r="O21" s="8">
        <f t="shared" si="1"/>
        <v>3.5000000000000003E-2</v>
      </c>
      <c r="P21" s="8" t="str">
        <f t="shared" si="3"/>
        <v/>
      </c>
      <c r="Q21" s="8">
        <f>(B21*Standards!D$15)+Q20</f>
        <v>1.5100218236793002</v>
      </c>
      <c r="R21" s="8">
        <f t="shared" si="2"/>
        <v>0.31500000000000006</v>
      </c>
      <c r="T21" s="59"/>
      <c r="U21" s="59"/>
      <c r="V21" s="59"/>
      <c r="W21" s="59"/>
      <c r="X21" s="59"/>
      <c r="Y21" s="59"/>
      <c r="Z21" s="59"/>
    </row>
    <row r="22" spans="1:26" s="8" customFormat="1" x14ac:dyDescent="0.25">
      <c r="A22" s="35">
        <v>15</v>
      </c>
      <c r="B22" s="34"/>
      <c r="C22" s="50"/>
      <c r="D22" s="53"/>
      <c r="E22" s="16"/>
      <c r="F22" s="13"/>
      <c r="G22" s="40"/>
      <c r="H22" s="6" t="str">
        <f>IF(F22="","",N22-VLOOKUP(F22,Parts!A:F,6,FALSE))</f>
        <v/>
      </c>
      <c r="I22" s="6" t="str">
        <f>IF(F22="","",IF(F22=0,"",H22-(Standards!D$14*L$5)-(Standards!D$15*K$5)))</f>
        <v/>
      </c>
      <c r="J22" s="12" t="str">
        <f>IF(F22="","",VLOOKUP(F22,Parts!A:J,10,FALSE))</f>
        <v/>
      </c>
      <c r="K22" s="12" t="str">
        <f>IF(F22="","",VLOOKUP(F22,Parts!A:N,14,FALSE))</f>
        <v/>
      </c>
      <c r="L22" s="33"/>
      <c r="M22" s="33"/>
      <c r="N22" s="8" t="str">
        <f t="shared" si="0"/>
        <v/>
      </c>
      <c r="O22" s="8">
        <f t="shared" si="1"/>
        <v>3.5000000000000003E-2</v>
      </c>
      <c r="P22" s="8" t="str">
        <f t="shared" si="3"/>
        <v/>
      </c>
      <c r="Q22" s="8">
        <f>(B22*Standards!D$15)+Q21</f>
        <v>1.5100218236793002</v>
      </c>
      <c r="R22" s="8">
        <f t="shared" si="2"/>
        <v>0.31500000000000006</v>
      </c>
      <c r="T22" s="59"/>
      <c r="U22" s="59"/>
      <c r="V22" s="59"/>
      <c r="W22" s="59"/>
      <c r="X22" s="59"/>
      <c r="Y22" s="59"/>
      <c r="Z22" s="59"/>
    </row>
    <row r="23" spans="1:26" s="8" customFormat="1" x14ac:dyDescent="0.25">
      <c r="A23" s="35">
        <v>16</v>
      </c>
      <c r="B23" s="34"/>
      <c r="C23" s="50"/>
      <c r="D23" s="53"/>
      <c r="E23" s="16"/>
      <c r="F23" s="13"/>
      <c r="G23" s="40"/>
      <c r="H23" s="6" t="str">
        <f>IF(F23="","",N23-VLOOKUP(F23,Parts!A:F,6,FALSE))</f>
        <v/>
      </c>
      <c r="I23" s="6" t="str">
        <f>IF(F23="","",IF(F23=0,"",H23-(Standards!D$14*L$5)-(Standards!D$15*K$5)))</f>
        <v/>
      </c>
      <c r="J23" s="12" t="str">
        <f>IF(F23="","",VLOOKUP(F23,Parts!A:J,10,FALSE))</f>
        <v/>
      </c>
      <c r="K23" s="12" t="str">
        <f>IF(F23="","",VLOOKUP(F23,Parts!A:N,14,FALSE))</f>
        <v/>
      </c>
      <c r="L23" s="33"/>
      <c r="M23" s="33"/>
      <c r="N23" s="8" t="str">
        <f t="shared" si="0"/>
        <v/>
      </c>
      <c r="O23" s="8">
        <f t="shared" si="1"/>
        <v>3.5000000000000003E-2</v>
      </c>
      <c r="P23" s="8" t="str">
        <f t="shared" si="3"/>
        <v/>
      </c>
      <c r="Q23" s="8">
        <f>(B23*Standards!D$15)+Q22</f>
        <v>1.5100218236793002</v>
      </c>
      <c r="R23" s="8">
        <f t="shared" si="2"/>
        <v>0.31500000000000006</v>
      </c>
      <c r="T23" s="59"/>
      <c r="U23" s="59"/>
      <c r="V23" s="59"/>
      <c r="W23" s="59"/>
      <c r="X23" s="59"/>
      <c r="Y23" s="59"/>
      <c r="Z23" s="59"/>
    </row>
    <row r="24" spans="1:26" s="8" customFormat="1" x14ac:dyDescent="0.25">
      <c r="A24" s="35">
        <v>17</v>
      </c>
      <c r="B24" s="34"/>
      <c r="C24" s="50"/>
      <c r="D24" s="53"/>
      <c r="E24" s="16"/>
      <c r="F24" s="13"/>
      <c r="G24" s="40"/>
      <c r="H24" s="6" t="str">
        <f>IF(F24="","",N24-VLOOKUP(F24,Parts!A:F,6,FALSE))</f>
        <v/>
      </c>
      <c r="I24" s="6" t="str">
        <f>IF(F24="","",IF(F24=0,"",H24-(Standards!D$14*L$5)-(Standards!D$15*K$5)))</f>
        <v/>
      </c>
      <c r="J24" s="12" t="str">
        <f>IF(F24="","",VLOOKUP(F24,Parts!A:J,10,FALSE))</f>
        <v/>
      </c>
      <c r="K24" s="12" t="str">
        <f>IF(F24="","",VLOOKUP(F24,Parts!A:N,14,FALSE))</f>
        <v/>
      </c>
      <c r="L24" s="33"/>
      <c r="M24" s="33"/>
      <c r="N24" s="8" t="str">
        <f t="shared" si="0"/>
        <v/>
      </c>
      <c r="O24" s="8">
        <f t="shared" si="1"/>
        <v>3.5000000000000003E-2</v>
      </c>
      <c r="P24" s="8" t="str">
        <f t="shared" si="3"/>
        <v/>
      </c>
      <c r="Q24" s="8">
        <f>(B24*Standards!D$15)+Q23</f>
        <v>1.5100218236793002</v>
      </c>
      <c r="R24" s="8">
        <f t="shared" si="2"/>
        <v>0.31500000000000006</v>
      </c>
      <c r="T24" s="59"/>
      <c r="U24" s="59"/>
      <c r="V24" s="59"/>
      <c r="W24" s="59"/>
      <c r="X24" s="59"/>
      <c r="Y24" s="59"/>
      <c r="Z24" s="59"/>
    </row>
    <row r="25" spans="1:26" s="8" customFormat="1" x14ac:dyDescent="0.25">
      <c r="A25" s="35">
        <v>18</v>
      </c>
      <c r="B25" s="34"/>
      <c r="C25" s="50"/>
      <c r="D25" s="53"/>
      <c r="E25" s="16"/>
      <c r="F25" s="13"/>
      <c r="G25" s="40"/>
      <c r="H25" s="6" t="str">
        <f>IF(F25="","",N25-VLOOKUP(F25,Parts!A:F,6,FALSE))</f>
        <v/>
      </c>
      <c r="I25" s="6" t="str">
        <f>IF(F25="","",IF(F25=0,"",H25-(Standards!D$14*L$5)-(Standards!D$15*K$5)))</f>
        <v/>
      </c>
      <c r="J25" s="12" t="str">
        <f>IF(F25="","",VLOOKUP(F25,Parts!A:J,10,FALSE))</f>
        <v/>
      </c>
      <c r="K25" s="12" t="str">
        <f>IF(F25="","",VLOOKUP(F25,Parts!A:N,14,FALSE))</f>
        <v/>
      </c>
      <c r="L25" s="33"/>
      <c r="M25" s="33"/>
      <c r="N25" s="8" t="str">
        <f t="shared" si="0"/>
        <v/>
      </c>
      <c r="O25" s="8">
        <f t="shared" si="1"/>
        <v>3.5000000000000003E-2</v>
      </c>
      <c r="P25" s="8" t="str">
        <f t="shared" si="3"/>
        <v/>
      </c>
      <c r="Q25" s="8">
        <f>(B25*Standards!D$15)+Q24</f>
        <v>1.5100218236793002</v>
      </c>
      <c r="R25" s="8">
        <f t="shared" si="2"/>
        <v>0.31500000000000006</v>
      </c>
      <c r="T25" s="59"/>
      <c r="U25" s="59"/>
      <c r="V25" s="59"/>
      <c r="W25" s="59"/>
      <c r="X25" s="59"/>
      <c r="Y25" s="59"/>
      <c r="Z25" s="59"/>
    </row>
    <row r="26" spans="1:26" s="8" customFormat="1" x14ac:dyDescent="0.25">
      <c r="A26" s="35">
        <v>19</v>
      </c>
      <c r="B26" s="34"/>
      <c r="C26" s="50"/>
      <c r="D26" s="53"/>
      <c r="E26" s="16"/>
      <c r="F26" s="13"/>
      <c r="G26" s="40"/>
      <c r="H26" s="6" t="str">
        <f>IF(F26="","",N26-VLOOKUP(F26,Parts!A:F,6,FALSE))</f>
        <v/>
      </c>
      <c r="I26" s="6" t="str">
        <f>IF(F26="","",IF(F26=0,"",H26-(Standards!D$14*L$5)-(Standards!D$15*K$5)))</f>
        <v/>
      </c>
      <c r="J26" s="12" t="str">
        <f>IF(F26="","",VLOOKUP(F26,Parts!A:J,10,FALSE))</f>
        <v/>
      </c>
      <c r="K26" s="12" t="str">
        <f>IF(F26="","",VLOOKUP(F26,Parts!A:N,14,FALSE))</f>
        <v/>
      </c>
      <c r="L26" s="33"/>
      <c r="M26" s="33"/>
      <c r="N26" s="8" t="str">
        <f t="shared" si="0"/>
        <v/>
      </c>
      <c r="O26" s="8">
        <f t="shared" si="1"/>
        <v>3.5000000000000003E-2</v>
      </c>
      <c r="P26" s="8" t="str">
        <f t="shared" si="3"/>
        <v/>
      </c>
      <c r="Q26" s="8">
        <f>(B26*Standards!D$15)+Q25</f>
        <v>1.5100218236793002</v>
      </c>
      <c r="R26" s="8">
        <f t="shared" si="2"/>
        <v>0.31500000000000006</v>
      </c>
      <c r="T26" s="59"/>
      <c r="U26" s="59"/>
      <c r="V26" s="59"/>
      <c r="W26" s="59"/>
      <c r="X26" s="59"/>
      <c r="Y26" s="59"/>
      <c r="Z26" s="59"/>
    </row>
    <row r="27" spans="1:26" s="8" customFormat="1" x14ac:dyDescent="0.25">
      <c r="A27" s="35">
        <v>20</v>
      </c>
      <c r="B27" s="34"/>
      <c r="C27" s="50"/>
      <c r="D27" s="53"/>
      <c r="E27" s="16"/>
      <c r="F27" s="13"/>
      <c r="G27" s="40"/>
      <c r="H27" s="6" t="str">
        <f>IF(F27="","",N27-VLOOKUP(F27,Parts!A:F,6,FALSE))</f>
        <v/>
      </c>
      <c r="I27" s="6" t="str">
        <f>IF(F27="","",IF(F27=0,"",H27-(Standards!D$14*L$5)-(Standards!D$15*K$5)))</f>
        <v/>
      </c>
      <c r="J27" s="12" t="str">
        <f>IF(F27="","",VLOOKUP(F27,Parts!A:J,10,FALSE))</f>
        <v/>
      </c>
      <c r="K27" s="12" t="str">
        <f>IF(F27="","",VLOOKUP(F27,Parts!A:N,14,FALSE))</f>
        <v/>
      </c>
      <c r="L27" s="33"/>
      <c r="M27" s="33"/>
      <c r="N27" s="8" t="str">
        <f t="shared" si="0"/>
        <v/>
      </c>
      <c r="O27" s="8">
        <f t="shared" si="1"/>
        <v>3.5000000000000003E-2</v>
      </c>
      <c r="P27" s="8" t="str">
        <f t="shared" si="3"/>
        <v/>
      </c>
      <c r="Q27" s="8">
        <f>(B27*Standards!D$15)+Q26</f>
        <v>1.5100218236793002</v>
      </c>
      <c r="R27" s="8">
        <f t="shared" si="2"/>
        <v>0.31500000000000006</v>
      </c>
      <c r="T27" s="59"/>
      <c r="U27" s="59"/>
      <c r="V27" s="59"/>
      <c r="W27" s="59"/>
      <c r="X27" s="59"/>
      <c r="Y27" s="59"/>
      <c r="Z27" s="59"/>
    </row>
    <row r="28" spans="1:26" s="8" customFormat="1" x14ac:dyDescent="0.25">
      <c r="A28" s="35">
        <v>21</v>
      </c>
      <c r="B28" s="34"/>
      <c r="C28" s="50"/>
      <c r="D28" s="53"/>
      <c r="E28" s="16"/>
      <c r="F28" s="13"/>
      <c r="G28" s="40"/>
      <c r="H28" s="6" t="str">
        <f>IF(F28="","",N28-VLOOKUP(F28,Parts!A:F,6,FALSE))</f>
        <v/>
      </c>
      <c r="I28" s="6" t="str">
        <f>IF(F28="","",IF(F28=0,"",H28-(Standards!D$14*L$5)-(Standards!D$15*K$5)))</f>
        <v/>
      </c>
      <c r="J28" s="12" t="str">
        <f>IF(F28="","",VLOOKUP(F28,Parts!A:J,10,FALSE))</f>
        <v/>
      </c>
      <c r="K28" s="12" t="str">
        <f>IF(F28="","",VLOOKUP(F28,Parts!A:N,14,FALSE))</f>
        <v/>
      </c>
      <c r="L28" s="33"/>
      <c r="M28" s="33"/>
      <c r="N28" s="8" t="str">
        <f t="shared" si="0"/>
        <v/>
      </c>
      <c r="O28" s="8">
        <f t="shared" si="1"/>
        <v>3.5000000000000003E-2</v>
      </c>
      <c r="P28" s="8" t="str">
        <f t="shared" si="3"/>
        <v/>
      </c>
      <c r="Q28" s="8">
        <f>(B28*Standards!D$15)+Q27</f>
        <v>1.5100218236793002</v>
      </c>
      <c r="R28" s="8">
        <f t="shared" si="2"/>
        <v>0.31500000000000006</v>
      </c>
      <c r="T28" s="59"/>
      <c r="U28" s="59"/>
      <c r="V28" s="59"/>
      <c r="W28" s="59"/>
      <c r="X28" s="59"/>
      <c r="Y28" s="59"/>
      <c r="Z28" s="59"/>
    </row>
    <row r="29" spans="1:26" s="8" customFormat="1" x14ac:dyDescent="0.25">
      <c r="A29" s="35">
        <v>22</v>
      </c>
      <c r="B29" s="34"/>
      <c r="C29" s="50"/>
      <c r="D29" s="53"/>
      <c r="E29" s="16"/>
      <c r="F29" s="13"/>
      <c r="G29" s="40"/>
      <c r="H29" s="6" t="str">
        <f>IF(F29="","",N29-VLOOKUP(F29,Parts!A:F,6,FALSE))</f>
        <v/>
      </c>
      <c r="I29" s="6" t="str">
        <f>IF(F29="","",IF(F29=0,"",H29-(Standards!D$14*L$5)-(Standards!D$15*K$5)))</f>
        <v/>
      </c>
      <c r="J29" s="12" t="str">
        <f>IF(F29="","",VLOOKUP(F29,Parts!A:J,10,FALSE))</f>
        <v/>
      </c>
      <c r="K29" s="12" t="str">
        <f>IF(F29="","",VLOOKUP(F29,Parts!A:N,14,FALSE))</f>
        <v/>
      </c>
      <c r="L29" s="33"/>
      <c r="M29" s="33"/>
      <c r="N29" s="8" t="str">
        <f t="shared" si="0"/>
        <v/>
      </c>
      <c r="O29" s="8">
        <f t="shared" si="1"/>
        <v>3.5000000000000003E-2</v>
      </c>
      <c r="P29" s="8" t="str">
        <f t="shared" si="3"/>
        <v/>
      </c>
      <c r="Q29" s="8">
        <f>(B29*Standards!D$15)+Q28</f>
        <v>1.5100218236793002</v>
      </c>
      <c r="R29" s="8">
        <f t="shared" si="2"/>
        <v>0.31500000000000006</v>
      </c>
      <c r="T29" s="59"/>
      <c r="U29" s="59"/>
      <c r="V29" s="59"/>
      <c r="W29" s="59"/>
      <c r="X29" s="59"/>
      <c r="Y29" s="59"/>
      <c r="Z29" s="59"/>
    </row>
    <row r="30" spans="1:26" s="8" customFormat="1" x14ac:dyDescent="0.25">
      <c r="A30" s="35">
        <v>23</v>
      </c>
      <c r="B30" s="34"/>
      <c r="C30" s="50"/>
      <c r="D30" s="53"/>
      <c r="E30" s="16"/>
      <c r="F30" s="13"/>
      <c r="G30" s="40"/>
      <c r="H30" s="6" t="str">
        <f>IF(F30="","",N30-VLOOKUP(F30,Parts!A:F,6,FALSE))</f>
        <v/>
      </c>
      <c r="I30" s="6" t="str">
        <f>IF(F30="","",IF(F30=0,"",H30-(Standards!D$14*L$5)-(Standards!D$15*K$5)))</f>
        <v/>
      </c>
      <c r="J30" s="12" t="str">
        <f>IF(F30="","",VLOOKUP(F30,Parts!A:J,10,FALSE))</f>
        <v/>
      </c>
      <c r="K30" s="12" t="str">
        <f>IF(F30="","",VLOOKUP(F30,Parts!A:N,14,FALSE))</f>
        <v/>
      </c>
      <c r="L30" s="33"/>
      <c r="M30" s="33"/>
      <c r="N30" s="8" t="str">
        <f t="shared" si="0"/>
        <v/>
      </c>
      <c r="O30" s="8">
        <f t="shared" si="1"/>
        <v>3.5000000000000003E-2</v>
      </c>
      <c r="P30" s="8" t="str">
        <f t="shared" si="3"/>
        <v/>
      </c>
      <c r="Q30" s="8">
        <f>(B30*Standards!D$15)+Q29</f>
        <v>1.5100218236793002</v>
      </c>
      <c r="R30" s="8">
        <f t="shared" si="2"/>
        <v>0.31500000000000006</v>
      </c>
      <c r="T30" s="59"/>
      <c r="U30" s="59"/>
      <c r="V30" s="59"/>
      <c r="W30" s="59"/>
      <c r="X30" s="59"/>
      <c r="Y30" s="59"/>
      <c r="Z30" s="59"/>
    </row>
    <row r="31" spans="1:26" s="8" customFormat="1" x14ac:dyDescent="0.25">
      <c r="A31" s="35">
        <v>24</v>
      </c>
      <c r="B31" s="34"/>
      <c r="C31" s="50"/>
      <c r="D31" s="53"/>
      <c r="E31" s="16"/>
      <c r="F31" s="13"/>
      <c r="G31" s="40"/>
      <c r="H31" s="6" t="str">
        <f>IF(F31="","",N31-VLOOKUP(F31,Parts!A:F,6,FALSE))</f>
        <v/>
      </c>
      <c r="I31" s="6" t="str">
        <f>IF(F31="","",IF(F31=0,"",H31-(Standards!D$14*L$5)-(Standards!D$15*K$5)))</f>
        <v/>
      </c>
      <c r="J31" s="12" t="str">
        <f>IF(F31="","",VLOOKUP(F31,Parts!A:J,10,FALSE))</f>
        <v/>
      </c>
      <c r="K31" s="12" t="str">
        <f>IF(F31="","",VLOOKUP(F31,Parts!A:N,14,FALSE))</f>
        <v/>
      </c>
      <c r="L31" s="33"/>
      <c r="M31" s="33"/>
      <c r="N31" s="8" t="str">
        <f t="shared" si="0"/>
        <v/>
      </c>
      <c r="O31" s="8">
        <f t="shared" si="1"/>
        <v>3.5000000000000003E-2</v>
      </c>
      <c r="P31" s="8" t="str">
        <f t="shared" si="3"/>
        <v/>
      </c>
      <c r="Q31" s="8">
        <f>(B31*Standards!D$15)+Q30</f>
        <v>1.5100218236793002</v>
      </c>
      <c r="R31" s="8">
        <f t="shared" si="2"/>
        <v>0.31500000000000006</v>
      </c>
      <c r="T31" s="59"/>
      <c r="U31" s="59"/>
      <c r="V31" s="59"/>
      <c r="W31" s="59"/>
      <c r="X31" s="59"/>
      <c r="Y31" s="59"/>
      <c r="Z31" s="59"/>
    </row>
    <row r="32" spans="1:26" s="8" customFormat="1" x14ac:dyDescent="0.25">
      <c r="A32" s="35">
        <v>25</v>
      </c>
      <c r="B32" s="34"/>
      <c r="C32" s="50"/>
      <c r="D32" s="53"/>
      <c r="E32" s="16"/>
      <c r="F32" s="13"/>
      <c r="G32" s="40"/>
      <c r="H32" s="6" t="str">
        <f>IF(F32="","",N32-VLOOKUP(F32,Parts!A:F,6,FALSE))</f>
        <v/>
      </c>
      <c r="I32" s="6" t="str">
        <f>IF(F32="","",IF(F32=0,"",H32-(Standards!D$14*L$5)-(Standards!D$15*K$5)))</f>
        <v/>
      </c>
      <c r="J32" s="12" t="str">
        <f>IF(F32="","",VLOOKUP(F32,Parts!A:J,10,FALSE))</f>
        <v/>
      </c>
      <c r="K32" s="12" t="str">
        <f>IF(F32="","",VLOOKUP(F32,Parts!A:N,14,FALSE))</f>
        <v/>
      </c>
      <c r="L32" s="33"/>
      <c r="M32" s="33"/>
      <c r="N32" s="8" t="str">
        <f t="shared" si="0"/>
        <v/>
      </c>
      <c r="O32" s="8">
        <f t="shared" si="1"/>
        <v>3.5000000000000003E-2</v>
      </c>
      <c r="P32" s="8" t="str">
        <f t="shared" si="3"/>
        <v/>
      </c>
      <c r="Q32" s="8">
        <f>(B32*Standards!D$15)+Q31</f>
        <v>1.5100218236793002</v>
      </c>
      <c r="R32" s="8">
        <f t="shared" si="2"/>
        <v>0.31500000000000006</v>
      </c>
      <c r="T32" s="59"/>
      <c r="U32" s="59"/>
      <c r="V32" s="59"/>
      <c r="W32" s="59"/>
      <c r="X32" s="59"/>
      <c r="Y32" s="59"/>
      <c r="Z32" s="59"/>
    </row>
    <row r="33" spans="1:26" s="8" customFormat="1" x14ac:dyDescent="0.25">
      <c r="A33" s="35">
        <v>26</v>
      </c>
      <c r="B33" s="34"/>
      <c r="C33" s="50"/>
      <c r="D33" s="53"/>
      <c r="E33" s="16"/>
      <c r="F33" s="13"/>
      <c r="G33" s="40"/>
      <c r="H33" s="6" t="str">
        <f>IF(F33="","",N33-VLOOKUP(F33,Parts!A:F,6,FALSE))</f>
        <v/>
      </c>
      <c r="I33" s="6" t="str">
        <f>IF(F33="","",IF(F33=0,"",H33-(Standards!D$14*L$5)-(Standards!D$15*K$5)))</f>
        <v/>
      </c>
      <c r="J33" s="12" t="str">
        <f>IF(F33="","",VLOOKUP(F33,Parts!A:J,10,FALSE))</f>
        <v/>
      </c>
      <c r="K33" s="12" t="str">
        <f>IF(F33="","",VLOOKUP(F33,Parts!A:N,14,FALSE))</f>
        <v/>
      </c>
      <c r="L33" s="33"/>
      <c r="M33" s="33"/>
      <c r="N33" s="8" t="str">
        <f t="shared" si="0"/>
        <v/>
      </c>
      <c r="O33" s="8">
        <f t="shared" si="1"/>
        <v>3.5000000000000003E-2</v>
      </c>
      <c r="P33" s="8" t="str">
        <f t="shared" si="3"/>
        <v/>
      </c>
      <c r="Q33" s="8">
        <f>(B33*Standards!D$15)+Q32</f>
        <v>1.5100218236793002</v>
      </c>
      <c r="R33" s="8">
        <f t="shared" si="2"/>
        <v>0.31500000000000006</v>
      </c>
      <c r="T33" s="59"/>
      <c r="U33" s="59"/>
      <c r="V33" s="59"/>
      <c r="W33" s="59"/>
      <c r="X33" s="59"/>
      <c r="Y33" s="59"/>
      <c r="Z33" s="59"/>
    </row>
    <row r="34" spans="1:26" s="8" customFormat="1" x14ac:dyDescent="0.25">
      <c r="A34" s="35">
        <v>27</v>
      </c>
      <c r="B34" s="34"/>
      <c r="C34" s="50"/>
      <c r="D34" s="53"/>
      <c r="E34" s="16"/>
      <c r="F34" s="13"/>
      <c r="G34" s="40"/>
      <c r="H34" s="6" t="str">
        <f>IF(F34="","",N34-VLOOKUP(F34,Parts!A:F,6,FALSE))</f>
        <v/>
      </c>
      <c r="I34" s="6" t="str">
        <f>IF(F34="","",IF(F34=0,"",H34-(Standards!D$14*L$5)-(Standards!D$15*K$5)))</f>
        <v/>
      </c>
      <c r="J34" s="12" t="str">
        <f>IF(F34="","",VLOOKUP(F34,Parts!A:J,10,FALSE))</f>
        <v/>
      </c>
      <c r="K34" s="12" t="str">
        <f>IF(F34="","",VLOOKUP(F34,Parts!A:N,14,FALSE))</f>
        <v/>
      </c>
      <c r="L34" s="33"/>
      <c r="M34" s="33"/>
      <c r="N34" s="8" t="str">
        <f t="shared" si="0"/>
        <v/>
      </c>
      <c r="O34" s="8">
        <f t="shared" si="1"/>
        <v>3.5000000000000003E-2</v>
      </c>
      <c r="P34" s="8" t="str">
        <f t="shared" si="3"/>
        <v/>
      </c>
      <c r="Q34" s="8">
        <f>(B34*Standards!D$15)+Q33</f>
        <v>1.5100218236793002</v>
      </c>
      <c r="R34" s="8">
        <f t="shared" si="2"/>
        <v>0.31500000000000006</v>
      </c>
      <c r="T34" s="59"/>
      <c r="U34" s="59"/>
      <c r="V34" s="59"/>
      <c r="W34" s="59"/>
      <c r="X34" s="59"/>
      <c r="Y34" s="59"/>
      <c r="Z34" s="59"/>
    </row>
    <row r="35" spans="1:26" s="8" customFormat="1" x14ac:dyDescent="0.25">
      <c r="A35" s="35">
        <v>28</v>
      </c>
      <c r="B35" s="34"/>
      <c r="C35" s="50"/>
      <c r="D35" s="53"/>
      <c r="E35" s="16"/>
      <c r="F35" s="13"/>
      <c r="G35" s="40"/>
      <c r="H35" s="6" t="str">
        <f>IF(F35="","",N35-VLOOKUP(F35,Parts!A:F,6,FALSE))</f>
        <v/>
      </c>
      <c r="I35" s="6" t="str">
        <f>IF(F35="","",IF(F35=0,"",H35-(Standards!D$14*L$5)-(Standards!D$15*K$5)))</f>
        <v/>
      </c>
      <c r="J35" s="12" t="str">
        <f>IF(F35="","",VLOOKUP(F35,Parts!A:J,10,FALSE))</f>
        <v/>
      </c>
      <c r="K35" s="12" t="str">
        <f>IF(F35="","",VLOOKUP(F35,Parts!A:N,14,FALSE))</f>
        <v/>
      </c>
      <c r="L35" s="33"/>
      <c r="M35" s="33"/>
      <c r="N35" s="8" t="str">
        <f t="shared" si="0"/>
        <v/>
      </c>
      <c r="O35" s="8">
        <f t="shared" si="1"/>
        <v>3.5000000000000003E-2</v>
      </c>
      <c r="P35" s="8" t="str">
        <f t="shared" si="3"/>
        <v/>
      </c>
      <c r="Q35" s="8">
        <f>(B35*Standards!D$15)+Q34</f>
        <v>1.5100218236793002</v>
      </c>
      <c r="R35" s="8">
        <f t="shared" si="2"/>
        <v>0.31500000000000006</v>
      </c>
      <c r="T35" s="59"/>
      <c r="U35" s="59"/>
      <c r="V35" s="59"/>
      <c r="W35" s="59"/>
      <c r="X35" s="59"/>
      <c r="Y35" s="59"/>
      <c r="Z35" s="59"/>
    </row>
    <row r="36" spans="1:26" s="8" customFormat="1" x14ac:dyDescent="0.25">
      <c r="A36" s="35">
        <v>29</v>
      </c>
      <c r="B36" s="34"/>
      <c r="C36" s="50"/>
      <c r="D36" s="53"/>
      <c r="E36" s="16"/>
      <c r="F36" s="13"/>
      <c r="G36" s="40"/>
      <c r="H36" s="6" t="str">
        <f>IF(F36="","",N36-VLOOKUP(F36,Parts!A:F,6,FALSE))</f>
        <v/>
      </c>
      <c r="I36" s="6" t="str">
        <f>IF(F36="","",IF(F36=0,"",H36-(Standards!D$14*L$5)-(Standards!D$15*K$5)))</f>
        <v/>
      </c>
      <c r="J36" s="12" t="str">
        <f>IF(F36="","",VLOOKUP(F36,Parts!A:J,10,FALSE))</f>
        <v/>
      </c>
      <c r="K36" s="12" t="str">
        <f>IF(F36="","",VLOOKUP(F36,Parts!A:N,14,FALSE))</f>
        <v/>
      </c>
      <c r="L36" s="33"/>
      <c r="M36" s="33"/>
      <c r="N36" s="8" t="str">
        <f t="shared" si="0"/>
        <v/>
      </c>
      <c r="O36" s="8">
        <f t="shared" si="1"/>
        <v>3.5000000000000003E-2</v>
      </c>
      <c r="P36" s="8" t="str">
        <f t="shared" si="3"/>
        <v/>
      </c>
      <c r="Q36" s="8">
        <f>(B36*Standards!D$15)+Q35</f>
        <v>1.5100218236793002</v>
      </c>
      <c r="R36" s="8">
        <f t="shared" si="2"/>
        <v>0.31500000000000006</v>
      </c>
      <c r="T36" s="59"/>
      <c r="U36" s="59"/>
      <c r="V36" s="59"/>
      <c r="W36" s="59"/>
      <c r="X36" s="59"/>
      <c r="Y36" s="59"/>
      <c r="Z36" s="59"/>
    </row>
    <row r="37" spans="1:26" s="8" customFormat="1" x14ac:dyDescent="0.25">
      <c r="A37" s="35">
        <v>30</v>
      </c>
      <c r="B37" s="34"/>
      <c r="C37" s="50"/>
      <c r="D37" s="53"/>
      <c r="E37" s="16"/>
      <c r="F37" s="13"/>
      <c r="G37" s="40"/>
      <c r="H37" s="6" t="str">
        <f>IF(F37="","",N37-VLOOKUP(F37,Parts!A:F,6,FALSE))</f>
        <v/>
      </c>
      <c r="I37" s="6" t="str">
        <f>IF(F37="","",IF(F37=0,"",H37-(Standards!D$14*L$5)-(Standards!D$15*K$5)))</f>
        <v/>
      </c>
      <c r="J37" s="12" t="str">
        <f>IF(F37="","",VLOOKUP(F37,Parts!A:J,10,FALSE))</f>
        <v/>
      </c>
      <c r="K37" s="12" t="str">
        <f>IF(F37="","",VLOOKUP(F37,Parts!A:N,14,FALSE))</f>
        <v/>
      </c>
      <c r="L37" s="33"/>
      <c r="M37" s="33"/>
      <c r="N37" s="8" t="str">
        <f t="shared" si="0"/>
        <v/>
      </c>
      <c r="O37" s="8">
        <f t="shared" si="1"/>
        <v>3.5000000000000003E-2</v>
      </c>
      <c r="P37" s="8" t="str">
        <f t="shared" si="3"/>
        <v/>
      </c>
      <c r="Q37" s="8">
        <f>(B37*Standards!D$15)+Q36</f>
        <v>1.5100218236793002</v>
      </c>
      <c r="R37" s="8">
        <f t="shared" si="2"/>
        <v>0.31500000000000006</v>
      </c>
      <c r="T37" s="59"/>
      <c r="U37" s="59"/>
      <c r="V37" s="59"/>
      <c r="W37" s="59"/>
      <c r="X37" s="59"/>
      <c r="Y37" s="59"/>
      <c r="Z37" s="59"/>
    </row>
    <row r="38" spans="1:26" s="8" customFormat="1" x14ac:dyDescent="0.25">
      <c r="A38" s="35">
        <v>31</v>
      </c>
      <c r="B38" s="34"/>
      <c r="C38" s="50"/>
      <c r="D38" s="53"/>
      <c r="E38" s="16"/>
      <c r="F38" s="13"/>
      <c r="G38" s="40"/>
      <c r="H38" s="6" t="str">
        <f>IF(F38="","",N38-VLOOKUP(F38,Parts!A:F,6,FALSE))</f>
        <v/>
      </c>
      <c r="I38" s="6" t="str">
        <f>IF(F38="","",IF(F38=0,"",H38-(Standards!D$14*L$5)-(Standards!D$15*K$5)))</f>
        <v/>
      </c>
      <c r="J38" s="12" t="str">
        <f>IF(F38="","",VLOOKUP(F38,Parts!A:J,10,FALSE))</f>
        <v/>
      </c>
      <c r="K38" s="12" t="str">
        <f>IF(F38="","",VLOOKUP(F38,Parts!A:N,14,FALSE))</f>
        <v/>
      </c>
      <c r="L38" s="33"/>
      <c r="M38" s="33"/>
      <c r="N38" s="8" t="str">
        <f t="shared" si="0"/>
        <v/>
      </c>
      <c r="O38" s="8">
        <f t="shared" si="1"/>
        <v>3.5000000000000003E-2</v>
      </c>
      <c r="P38" s="8" t="str">
        <f t="shared" si="3"/>
        <v/>
      </c>
      <c r="Q38" s="8">
        <f>(B38*Standards!D$15)+Q37</f>
        <v>1.5100218236793002</v>
      </c>
      <c r="R38" s="8">
        <f t="shared" si="2"/>
        <v>0.31500000000000006</v>
      </c>
      <c r="T38" s="59"/>
      <c r="U38" s="59"/>
      <c r="V38" s="59"/>
      <c r="W38" s="59"/>
      <c r="X38" s="59"/>
      <c r="Y38" s="59"/>
      <c r="Z38" s="59"/>
    </row>
    <row r="39" spans="1:26" s="8" customFormat="1" x14ac:dyDescent="0.25">
      <c r="A39" s="35">
        <v>32</v>
      </c>
      <c r="B39" s="34"/>
      <c r="C39" s="50"/>
      <c r="D39" s="53"/>
      <c r="E39" s="16"/>
      <c r="F39" s="13"/>
      <c r="G39" s="40"/>
      <c r="H39" s="6" t="str">
        <f>IF(F39="","",N39-VLOOKUP(F39,Parts!A:F,6,FALSE))</f>
        <v/>
      </c>
      <c r="I39" s="6" t="str">
        <f>IF(F39="","",IF(F39=0,"",H39-(Standards!D$14*L$5)-(Standards!D$15*K$5)))</f>
        <v/>
      </c>
      <c r="J39" s="12" t="str">
        <f>IF(F39="","",VLOOKUP(F39,Parts!A:J,10,FALSE))</f>
        <v/>
      </c>
      <c r="K39" s="12" t="str">
        <f>IF(F39="","",VLOOKUP(F39,Parts!A:N,14,FALSE))</f>
        <v/>
      </c>
      <c r="L39" s="33"/>
      <c r="M39" s="33"/>
      <c r="N39" s="8" t="str">
        <f t="shared" si="0"/>
        <v/>
      </c>
      <c r="O39" s="8">
        <f t="shared" si="1"/>
        <v>3.5000000000000003E-2</v>
      </c>
      <c r="P39" s="8" t="str">
        <f t="shared" si="3"/>
        <v/>
      </c>
      <c r="Q39" s="8">
        <f>(B39*Standards!D$15)+Q38</f>
        <v>1.5100218236793002</v>
      </c>
      <c r="R39" s="8">
        <f t="shared" si="2"/>
        <v>0.31500000000000006</v>
      </c>
      <c r="T39" s="59"/>
      <c r="U39" s="59"/>
      <c r="V39" s="59"/>
      <c r="W39" s="59"/>
      <c r="X39" s="59"/>
      <c r="Y39" s="59"/>
      <c r="Z39" s="59"/>
    </row>
    <row r="41" spans="1:26" ht="18.75" x14ac:dyDescent="0.3">
      <c r="A41" s="94" t="s">
        <v>189</v>
      </c>
      <c r="C41" s="96" t="s">
        <v>191</v>
      </c>
      <c r="K41" s="93" t="s">
        <v>190</v>
      </c>
      <c r="L41" s="95">
        <f>P11</f>
        <v>-10.816796856902501</v>
      </c>
    </row>
    <row r="42" spans="1:26" s="7" customFormat="1" ht="40.5" customHeight="1" x14ac:dyDescent="0.25">
      <c r="A42" s="20" t="s">
        <v>151</v>
      </c>
      <c r="B42" s="21" t="s">
        <v>152</v>
      </c>
      <c r="C42" s="21" t="s">
        <v>153</v>
      </c>
      <c r="D42" s="19" t="s">
        <v>154</v>
      </c>
      <c r="E42" s="19" t="s">
        <v>155</v>
      </c>
      <c r="F42" s="19" t="s">
        <v>156</v>
      </c>
      <c r="G42" s="19" t="s">
        <v>157</v>
      </c>
      <c r="H42" s="19" t="s">
        <v>158</v>
      </c>
      <c r="I42" s="19" t="s">
        <v>159</v>
      </c>
      <c r="J42" s="19" t="s">
        <v>87</v>
      </c>
      <c r="K42" s="20" t="s">
        <v>160</v>
      </c>
      <c r="L42" s="19" t="s">
        <v>161</v>
      </c>
      <c r="M42" s="20" t="s">
        <v>162</v>
      </c>
      <c r="N42" s="8" t="s">
        <v>163</v>
      </c>
      <c r="O42" s="8" t="s">
        <v>164</v>
      </c>
      <c r="P42" s="8" t="s">
        <v>165</v>
      </c>
      <c r="Q42" s="8">
        <f>Q11</f>
        <v>0.7010704575657446</v>
      </c>
      <c r="R42" s="8">
        <f>R11</f>
        <v>0.14000000000000001</v>
      </c>
      <c r="S42" s="36"/>
      <c r="T42" s="61"/>
      <c r="U42" s="61"/>
      <c r="V42" s="61"/>
      <c r="W42" s="61"/>
      <c r="X42" s="61"/>
      <c r="Y42" s="61"/>
      <c r="Z42" s="61"/>
    </row>
    <row r="43" spans="1:26" x14ac:dyDescent="0.25">
      <c r="A43" s="35">
        <v>1</v>
      </c>
      <c r="B43" s="34">
        <v>2000</v>
      </c>
      <c r="C43" s="50" t="s">
        <v>228</v>
      </c>
      <c r="D43" s="51" t="s">
        <v>229</v>
      </c>
      <c r="E43" s="18" t="s">
        <v>91</v>
      </c>
      <c r="F43" s="13">
        <v>0</v>
      </c>
      <c r="G43" s="40"/>
      <c r="H43" s="6">
        <f>IF(F43="","",N43-VLOOKUP(F43,Parts!A:F,6,FALSE))</f>
        <v>-11.900131307835798</v>
      </c>
      <c r="I43" s="6" t="str">
        <f>IF(F43="","",IF(F43=0,"",H43-(Standards!D$14*L$5)-(Standards!D$15*K$5)))</f>
        <v/>
      </c>
      <c r="J43" s="12" t="str">
        <f>IF(F43="","",VLOOKUP(F43,Parts!A:J,10,FALSE))</f>
        <v>N/A</v>
      </c>
      <c r="K43" s="12" t="str">
        <f>IF(F43="","",VLOOKUP(F43,Parts!A:N,14,FALSE))</f>
        <v>N/A</v>
      </c>
      <c r="L43" s="33"/>
      <c r="M43" s="33"/>
      <c r="N43" s="8">
        <f>IF(F43="","",L$41-Q43-R43)</f>
        <v>-11.900131307835798</v>
      </c>
      <c r="O43" s="8">
        <f t="shared" ref="O43:O71" si="4">VLOOKUP(H$5,Losses,3,FALSE)</f>
        <v>3.5000000000000003E-2</v>
      </c>
      <c r="P43" s="8">
        <f>IF(F43="","",N43-O43)</f>
        <v>-11.935131307835798</v>
      </c>
      <c r="Q43" s="8">
        <f>(B43*Standards!D$15)+Q42</f>
        <v>0.90833445093329657</v>
      </c>
      <c r="R43" s="8">
        <f t="shared" ref="R43:R71" si="5">IF(F43&lt;&gt;"",VLOOKUP(H$5,Losses,3,FALSE)+R42,R42)</f>
        <v>0.17500000000000002</v>
      </c>
    </row>
    <row r="44" spans="1:26" x14ac:dyDescent="0.25">
      <c r="A44" s="35">
        <v>2</v>
      </c>
      <c r="B44" s="34">
        <f>259+200</f>
        <v>459</v>
      </c>
      <c r="C44" s="50" t="s">
        <v>228</v>
      </c>
      <c r="D44" s="90" t="s">
        <v>235</v>
      </c>
      <c r="E44" s="16" t="s">
        <v>91</v>
      </c>
      <c r="F44" s="13">
        <v>8</v>
      </c>
      <c r="G44" s="55"/>
      <c r="H44" s="6">
        <f>IF(F44="","",N44-VLOOKUP(F44,Parts!A:F,6,FALSE))</f>
        <v>-22.622698394313652</v>
      </c>
      <c r="I44" s="6">
        <f>IF(F44="","",IF(F44=0,"",H44-(Standards!D$14*L$5)-(Standards!D$15*K$5)))</f>
        <v>-22.978146389339315</v>
      </c>
      <c r="J44" s="12" t="str">
        <f>IF(F44="","",VLOOKUP(F44,Parts!A:J,10,FALSE))</f>
        <v>USBM1X8</v>
      </c>
      <c r="K44" s="12" t="str">
        <f>IF(F44="","",VLOOKUP(F44,Parts!A:N,14,FALSE))</f>
        <v>PLO-U-108-SCA-SCA</v>
      </c>
      <c r="L44" s="33" t="s">
        <v>346</v>
      </c>
      <c r="M44" s="33" t="s">
        <v>347</v>
      </c>
      <c r="N44" s="8">
        <f>IF(F44="","",L$41-Q44-R44)</f>
        <v>-11.982698394313651</v>
      </c>
      <c r="O44" s="8">
        <f t="shared" si="4"/>
        <v>3.5000000000000003E-2</v>
      </c>
      <c r="P44" s="8">
        <f t="shared" ref="P44:P71" si="6">IF(F44="","",N44-O44)</f>
        <v>-12.017698394313651</v>
      </c>
      <c r="Q44" s="8">
        <f>(B44*Standards!D$15)+Q43</f>
        <v>0.95590153741114969</v>
      </c>
      <c r="R44" s="8">
        <f t="shared" si="5"/>
        <v>0.21000000000000002</v>
      </c>
    </row>
    <row r="45" spans="1:26" x14ac:dyDescent="0.25">
      <c r="A45" s="35">
        <v>3</v>
      </c>
      <c r="B45" s="34"/>
      <c r="C45" s="50"/>
      <c r="D45" s="51"/>
      <c r="E45" s="17"/>
      <c r="F45" s="13"/>
      <c r="G45" s="40"/>
      <c r="H45" s="6" t="str">
        <f>IF(F45="","",N45-VLOOKUP(F45,Parts!A:F,6,FALSE))</f>
        <v/>
      </c>
      <c r="I45" s="6" t="str">
        <f>IF(F45="","",IF(F45=0,"",H45-(Standards!D$14*L$5)-(Standards!D$15*K$5)))</f>
        <v/>
      </c>
      <c r="J45" s="12" t="str">
        <f>IF(F45="","",VLOOKUP(F45,Parts!A:J,10,FALSE))</f>
        <v/>
      </c>
      <c r="K45" s="12" t="str">
        <f>IF(F45="","",VLOOKUP(F45,Parts!A:N,14,FALSE))</f>
        <v/>
      </c>
      <c r="L45" s="33"/>
      <c r="M45" s="33"/>
      <c r="N45" s="8" t="str">
        <f>IF(F45="","",L$41-Q45-R45)</f>
        <v/>
      </c>
      <c r="O45" s="8">
        <f t="shared" si="4"/>
        <v>3.5000000000000003E-2</v>
      </c>
      <c r="P45" s="8" t="str">
        <f t="shared" si="6"/>
        <v/>
      </c>
      <c r="Q45" s="8">
        <f>(B45*Standards!D$15)+Q44</f>
        <v>0.95590153741114969</v>
      </c>
      <c r="R45" s="8">
        <f t="shared" si="5"/>
        <v>0.21000000000000002</v>
      </c>
    </row>
    <row r="46" spans="1:26" x14ac:dyDescent="0.25">
      <c r="A46" s="35">
        <v>4</v>
      </c>
      <c r="B46" s="34"/>
      <c r="C46" s="50"/>
      <c r="D46" s="51"/>
      <c r="E46" s="16"/>
      <c r="F46" s="13"/>
      <c r="G46" s="56"/>
      <c r="H46" s="6" t="str">
        <f>IF(F46="","",N46-VLOOKUP(F46,Parts!A:F,6,FALSE))</f>
        <v/>
      </c>
      <c r="I46" s="6" t="str">
        <f>IF(F46="","",IF(F46=0,"",H46-(Standards!D$14*L$5)-(Standards!D$15*K$5)))</f>
        <v/>
      </c>
      <c r="J46" s="12" t="str">
        <f>IF(F46="","",VLOOKUP(F46,Parts!A:J,10,FALSE))</f>
        <v/>
      </c>
      <c r="K46" s="12" t="str">
        <f>IF(F46="","",VLOOKUP(F46,Parts!A:N,14,FALSE))</f>
        <v/>
      </c>
      <c r="L46" s="33"/>
      <c r="M46" s="33"/>
      <c r="N46" s="8" t="str">
        <f>IF(F46="","",L$41-Q46-R46)</f>
        <v/>
      </c>
      <c r="O46" s="8">
        <f t="shared" si="4"/>
        <v>3.5000000000000003E-2</v>
      </c>
      <c r="P46" s="8" t="str">
        <f t="shared" si="6"/>
        <v/>
      </c>
      <c r="Q46" s="8">
        <f>(B46*Standards!D$15)+Q45</f>
        <v>0.95590153741114969</v>
      </c>
      <c r="R46" s="8">
        <f t="shared" si="5"/>
        <v>0.21000000000000002</v>
      </c>
    </row>
    <row r="47" spans="1:26" x14ac:dyDescent="0.25">
      <c r="A47" s="35">
        <v>5</v>
      </c>
      <c r="B47" s="34"/>
      <c r="C47" s="50"/>
      <c r="D47" s="51"/>
      <c r="E47" s="16"/>
      <c r="F47" s="13"/>
      <c r="G47" s="55"/>
      <c r="H47" s="6" t="str">
        <f>IF(F47="","",N47-VLOOKUP(F47,Parts!A:F,6,FALSE))</f>
        <v/>
      </c>
      <c r="I47" s="6" t="str">
        <f>IF(F47="","",IF(F47=0,"",H47-(Standards!D$14*L$5)-(Standards!D$15*K$5)))</f>
        <v/>
      </c>
      <c r="J47" s="12" t="str">
        <f>IF(F47="","",VLOOKUP(F47,Parts!A:J,10,FALSE))</f>
        <v/>
      </c>
      <c r="K47" s="12" t="str">
        <f>IF(F47="","",VLOOKUP(F47,Parts!A:N,14,FALSE))</f>
        <v/>
      </c>
      <c r="L47" s="33"/>
      <c r="M47" s="33"/>
      <c r="N47" s="8" t="str">
        <f>IF(F47="","",L$41-Q47-R47)</f>
        <v/>
      </c>
      <c r="O47" s="8">
        <f t="shared" si="4"/>
        <v>3.5000000000000003E-2</v>
      </c>
      <c r="P47" s="8" t="str">
        <f t="shared" si="6"/>
        <v/>
      </c>
      <c r="Q47" s="8">
        <f>(B47*Standards!D$15)+Q46</f>
        <v>0.95590153741114969</v>
      </c>
      <c r="R47" s="8">
        <f t="shared" si="5"/>
        <v>0.21000000000000002</v>
      </c>
    </row>
    <row r="48" spans="1:26" x14ac:dyDescent="0.25">
      <c r="A48" s="35">
        <v>6</v>
      </c>
      <c r="B48" s="34"/>
      <c r="C48" s="50"/>
      <c r="D48" s="51"/>
      <c r="E48" s="16"/>
      <c r="F48" s="13"/>
      <c r="G48" s="56"/>
      <c r="H48" s="6" t="str">
        <f>IF(F48="","",N48-VLOOKUP(F48,Parts!A:F,6,FALSE))</f>
        <v/>
      </c>
      <c r="I48" s="6" t="str">
        <f>IF(F48="","",IF(F48=0,"",H48-(Standards!D$14*L$5)-(Standards!D$15*K$5)))</f>
        <v/>
      </c>
      <c r="J48" s="12" t="str">
        <f>IF(F48="","",VLOOKUP(F48,Parts!A:J,10,FALSE))</f>
        <v/>
      </c>
      <c r="K48" s="12" t="str">
        <f>IF(F48="","",VLOOKUP(F48,Parts!A:N,14,FALSE))</f>
        <v/>
      </c>
      <c r="L48" s="33"/>
      <c r="M48" s="33"/>
      <c r="N48" s="8" t="str">
        <f>IF(F48="","",L$41-Q48-R48)</f>
        <v/>
      </c>
      <c r="O48" s="8">
        <f t="shared" si="4"/>
        <v>3.5000000000000003E-2</v>
      </c>
      <c r="P48" s="8" t="str">
        <f t="shared" si="6"/>
        <v/>
      </c>
      <c r="Q48" s="8">
        <f>(B48*Standards!D$15)+Q47</f>
        <v>0.95590153741114969</v>
      </c>
      <c r="R48" s="8">
        <f t="shared" si="5"/>
        <v>0.21000000000000002</v>
      </c>
    </row>
    <row r="49" spans="1:26" x14ac:dyDescent="0.25">
      <c r="A49" s="35">
        <v>7</v>
      </c>
      <c r="B49" s="34"/>
      <c r="C49" s="50"/>
      <c r="D49" s="51"/>
      <c r="E49" s="16"/>
      <c r="F49" s="13"/>
      <c r="G49" s="56"/>
      <c r="H49" s="6" t="str">
        <f>IF(F49="","",N49-VLOOKUP(F49,Parts!A:F,6,FALSE))</f>
        <v/>
      </c>
      <c r="I49" s="6" t="str">
        <f>IF(F49="","",IF(F49=0,"",H49-(Standards!D$14*L$5)-(Standards!D$15*K$5)))</f>
        <v/>
      </c>
      <c r="J49" s="12" t="str">
        <f>IF(F49="","",VLOOKUP(F49,Parts!A:J,10,FALSE))</f>
        <v/>
      </c>
      <c r="K49" s="12" t="str">
        <f>IF(F49="","",VLOOKUP(F49,Parts!A:N,14,FALSE))</f>
        <v/>
      </c>
      <c r="L49" s="33"/>
      <c r="M49" s="33"/>
      <c r="N49" s="8" t="str">
        <f>IF(F49="","",L$41-Q49-R49)</f>
        <v/>
      </c>
      <c r="O49" s="8">
        <f t="shared" si="4"/>
        <v>3.5000000000000003E-2</v>
      </c>
      <c r="P49" s="8" t="str">
        <f t="shared" si="6"/>
        <v/>
      </c>
      <c r="Q49" s="8">
        <f>(B49*Standards!D$15)+Q48</f>
        <v>0.95590153741114969</v>
      </c>
      <c r="R49" s="8">
        <f t="shared" si="5"/>
        <v>0.21000000000000002</v>
      </c>
    </row>
    <row r="50" spans="1:26" x14ac:dyDescent="0.25">
      <c r="A50" s="35">
        <v>8</v>
      </c>
      <c r="B50" s="34"/>
      <c r="C50" s="50"/>
      <c r="D50" s="51"/>
      <c r="E50" s="16"/>
      <c r="F50" s="13"/>
      <c r="G50" s="40"/>
      <c r="H50" s="6" t="str">
        <f>IF(F50="","",N50-VLOOKUP(F50,Parts!A:F,6,FALSE))</f>
        <v/>
      </c>
      <c r="I50" s="6" t="str">
        <f>IF(F50="","",IF(F50=0,"",H50-(Standards!D$14*L$5)-(Standards!D$15*K$5)))</f>
        <v/>
      </c>
      <c r="J50" s="12" t="str">
        <f>IF(F50="","",VLOOKUP(F50,Parts!A:J,10,FALSE))</f>
        <v/>
      </c>
      <c r="K50" s="12" t="str">
        <f>IF(F50="","",VLOOKUP(F50,Parts!A:N,14,FALSE))</f>
        <v/>
      </c>
      <c r="L50" s="33"/>
      <c r="M50" s="33"/>
      <c r="N50" s="8" t="str">
        <f>IF(F50="","",L$41-Q50-R50)</f>
        <v/>
      </c>
      <c r="O50" s="8">
        <f t="shared" si="4"/>
        <v>3.5000000000000003E-2</v>
      </c>
      <c r="P50" s="8" t="str">
        <f t="shared" si="6"/>
        <v/>
      </c>
      <c r="Q50" s="8">
        <f>(B50*Standards!D$15)+Q49</f>
        <v>0.95590153741114969</v>
      </c>
      <c r="R50" s="8">
        <f t="shared" si="5"/>
        <v>0.21000000000000002</v>
      </c>
    </row>
    <row r="51" spans="1:26" x14ac:dyDescent="0.25">
      <c r="A51" s="35">
        <v>9</v>
      </c>
      <c r="B51" s="34"/>
      <c r="C51" s="50"/>
      <c r="D51" s="52"/>
      <c r="E51" s="17"/>
      <c r="F51" s="13"/>
      <c r="G51" s="40"/>
      <c r="H51" s="6" t="str">
        <f>IF(F51="","",N51-VLOOKUP(F51,Parts!A:F,6,FALSE))</f>
        <v/>
      </c>
      <c r="I51" s="6" t="str">
        <f>IF(F51="","",IF(F51=0,"",H51-(Standards!D$14*L$5)-(Standards!D$15*K$5)))</f>
        <v/>
      </c>
      <c r="J51" s="12" t="str">
        <f>IF(F51="","",VLOOKUP(F51,Parts!A:J,10,FALSE))</f>
        <v/>
      </c>
      <c r="K51" s="12" t="str">
        <f>IF(F51="","",VLOOKUP(F51,Parts!A:N,14,FALSE))</f>
        <v/>
      </c>
      <c r="L51" s="33"/>
      <c r="M51" s="33"/>
      <c r="N51" s="8" t="str">
        <f>IF(F51="","",L$41-Q51-R51)</f>
        <v/>
      </c>
      <c r="O51" s="8">
        <f t="shared" si="4"/>
        <v>3.5000000000000003E-2</v>
      </c>
      <c r="P51" s="8" t="str">
        <f t="shared" si="6"/>
        <v/>
      </c>
      <c r="Q51" s="8">
        <f>(B51*Standards!D$15)+Q50</f>
        <v>0.95590153741114969</v>
      </c>
      <c r="R51" s="8">
        <f t="shared" si="5"/>
        <v>0.21000000000000002</v>
      </c>
    </row>
    <row r="52" spans="1:26" s="8" customFormat="1" x14ac:dyDescent="0.25">
      <c r="A52" s="35">
        <v>10</v>
      </c>
      <c r="B52" s="34"/>
      <c r="C52" s="50"/>
      <c r="D52" s="52"/>
      <c r="E52" s="17"/>
      <c r="F52" s="13"/>
      <c r="G52" s="40"/>
      <c r="H52" s="6" t="str">
        <f>IF(F52="","",N52-VLOOKUP(F52,Parts!A:F,6,FALSE))</f>
        <v/>
      </c>
      <c r="I52" s="6" t="str">
        <f>IF(F52="","",IF(F52=0,"",H52-(Standards!D$14*L$5)-(Standards!D$15*K$5)))</f>
        <v/>
      </c>
      <c r="J52" s="12" t="str">
        <f>IF(F52="","",VLOOKUP(F52,Parts!A:J,10,FALSE))</f>
        <v/>
      </c>
      <c r="K52" s="12" t="str">
        <f>IF(F52="","",VLOOKUP(F52,Parts!A:N,14,FALSE))</f>
        <v/>
      </c>
      <c r="L52" s="33"/>
      <c r="M52" s="33"/>
      <c r="N52" s="8" t="str">
        <f>IF(F52="","",L$41-Q52-R52)</f>
        <v/>
      </c>
      <c r="O52" s="8">
        <f t="shared" si="4"/>
        <v>3.5000000000000003E-2</v>
      </c>
      <c r="P52" s="8" t="str">
        <f t="shared" si="6"/>
        <v/>
      </c>
      <c r="Q52" s="8">
        <f>(B52*Standards!D$15)+Q51</f>
        <v>0.95590153741114969</v>
      </c>
      <c r="R52" s="8">
        <f t="shared" si="5"/>
        <v>0.21000000000000002</v>
      </c>
      <c r="T52" s="59"/>
      <c r="U52" s="59"/>
      <c r="V52" s="59"/>
      <c r="W52" s="59"/>
      <c r="X52" s="59"/>
      <c r="Y52" s="59"/>
      <c r="Z52" s="59"/>
    </row>
    <row r="53" spans="1:26" s="8" customFormat="1" x14ac:dyDescent="0.25">
      <c r="A53" s="35">
        <v>11</v>
      </c>
      <c r="B53" s="34"/>
      <c r="C53" s="50"/>
      <c r="D53" s="51"/>
      <c r="E53" s="18"/>
      <c r="F53" s="13"/>
      <c r="G53" s="40"/>
      <c r="H53" s="6" t="str">
        <f>IF(F53="","",N53-VLOOKUP(F53,Parts!A:F,6,FALSE))</f>
        <v/>
      </c>
      <c r="I53" s="6" t="str">
        <f>IF(F53="","",IF(F53=0,"",H53-(Standards!D$14*L$5)-(Standards!D$15*K$5)))</f>
        <v/>
      </c>
      <c r="J53" s="12" t="str">
        <f>IF(F53="","",VLOOKUP(F53,Parts!A:J,10,FALSE))</f>
        <v/>
      </c>
      <c r="K53" s="12" t="str">
        <f>IF(F53="","",VLOOKUP(F53,Parts!A:N,14,FALSE))</f>
        <v/>
      </c>
      <c r="L53" s="33"/>
      <c r="M53" s="33"/>
      <c r="N53" s="8" t="str">
        <f>IF(F53="","",L$41-Q53-R53)</f>
        <v/>
      </c>
      <c r="O53" s="8">
        <f t="shared" si="4"/>
        <v>3.5000000000000003E-2</v>
      </c>
      <c r="P53" s="8" t="str">
        <f t="shared" si="6"/>
        <v/>
      </c>
      <c r="Q53" s="8">
        <f>(B53*Standards!D$15)+Q52</f>
        <v>0.95590153741114969</v>
      </c>
      <c r="R53" s="8">
        <f t="shared" si="5"/>
        <v>0.21000000000000002</v>
      </c>
      <c r="T53" s="59"/>
      <c r="U53" s="59"/>
      <c r="V53" s="59"/>
      <c r="W53" s="59"/>
      <c r="X53" s="59"/>
      <c r="Y53" s="59"/>
      <c r="Z53" s="59"/>
    </row>
    <row r="54" spans="1:26" s="8" customFormat="1" x14ac:dyDescent="0.25">
      <c r="A54" s="35">
        <v>12</v>
      </c>
      <c r="B54" s="34"/>
      <c r="C54" s="50"/>
      <c r="D54" s="52"/>
      <c r="E54" s="17"/>
      <c r="F54" s="13"/>
      <c r="G54" s="40"/>
      <c r="H54" s="6" t="str">
        <f>IF(F54="","",N54-VLOOKUP(F54,Parts!A:F,6,FALSE))</f>
        <v/>
      </c>
      <c r="I54" s="6" t="str">
        <f>IF(F54="","",IF(F54=0,"",H54-(Standards!D$14*L$5)-(Standards!D$15*K$5)))</f>
        <v/>
      </c>
      <c r="J54" s="12" t="str">
        <f>IF(F54="","",VLOOKUP(F54,Parts!A:J,10,FALSE))</f>
        <v/>
      </c>
      <c r="K54" s="12" t="str">
        <f>IF(F54="","",VLOOKUP(F54,Parts!A:N,14,FALSE))</f>
        <v/>
      </c>
      <c r="L54" s="33"/>
      <c r="M54" s="33"/>
      <c r="N54" s="8" t="str">
        <f>IF(F54="","",L$41-Q54-R54)</f>
        <v/>
      </c>
      <c r="O54" s="8">
        <f t="shared" si="4"/>
        <v>3.5000000000000003E-2</v>
      </c>
      <c r="P54" s="8" t="str">
        <f t="shared" si="6"/>
        <v/>
      </c>
      <c r="Q54" s="8">
        <f>(B54*Standards!D$15)+Q53</f>
        <v>0.95590153741114969</v>
      </c>
      <c r="R54" s="8">
        <f t="shared" si="5"/>
        <v>0.21000000000000002</v>
      </c>
      <c r="T54" s="59"/>
      <c r="U54" s="59"/>
      <c r="V54" s="59"/>
      <c r="W54" s="59"/>
      <c r="X54" s="59"/>
      <c r="Y54" s="59"/>
      <c r="Z54" s="59"/>
    </row>
    <row r="55" spans="1:26" s="8" customFormat="1" x14ac:dyDescent="0.25">
      <c r="A55" s="35">
        <v>13</v>
      </c>
      <c r="B55" s="34"/>
      <c r="C55" s="50"/>
      <c r="D55" s="53"/>
      <c r="E55" s="16"/>
      <c r="F55" s="13"/>
      <c r="G55" s="40"/>
      <c r="H55" s="6" t="str">
        <f>IF(F55="","",N55-VLOOKUP(F55,Parts!A:F,6,FALSE))</f>
        <v/>
      </c>
      <c r="I55" s="6" t="str">
        <f>IF(F55="","",IF(F55=0,"",H55-(Standards!D$14*L$5)-(Standards!D$15*K$5)))</f>
        <v/>
      </c>
      <c r="J55" s="12" t="str">
        <f>IF(F55="","",VLOOKUP(F55,Parts!A:J,10,FALSE))</f>
        <v/>
      </c>
      <c r="K55" s="12" t="str">
        <f>IF(F55="","",VLOOKUP(F55,Parts!A:N,14,FALSE))</f>
        <v/>
      </c>
      <c r="L55" s="33"/>
      <c r="M55" s="33"/>
      <c r="N55" s="8" t="str">
        <f>IF(F55="","",L$41-Q55-R55)</f>
        <v/>
      </c>
      <c r="O55" s="8">
        <f t="shared" si="4"/>
        <v>3.5000000000000003E-2</v>
      </c>
      <c r="P55" s="8" t="str">
        <f t="shared" si="6"/>
        <v/>
      </c>
      <c r="Q55" s="8">
        <f>(B55*Standards!D$15)+Q54</f>
        <v>0.95590153741114969</v>
      </c>
      <c r="R55" s="8">
        <f t="shared" si="5"/>
        <v>0.21000000000000002</v>
      </c>
      <c r="T55" s="59"/>
      <c r="U55" s="59"/>
      <c r="V55" s="59"/>
      <c r="W55" s="59"/>
      <c r="X55" s="59"/>
      <c r="Y55" s="59"/>
      <c r="Z55" s="59"/>
    </row>
    <row r="56" spans="1:26" s="8" customFormat="1" x14ac:dyDescent="0.25">
      <c r="A56" s="35">
        <v>14</v>
      </c>
      <c r="B56" s="34"/>
      <c r="C56" s="50"/>
      <c r="D56" s="53"/>
      <c r="E56" s="16"/>
      <c r="F56" s="13"/>
      <c r="G56" s="40"/>
      <c r="H56" s="6" t="str">
        <f>IF(F56="","",N56-VLOOKUP(F56,Parts!A:F,6,FALSE))</f>
        <v/>
      </c>
      <c r="I56" s="6" t="str">
        <f>IF(F56="","",IF(F56=0,"",H56-(Standards!D$14*L$5)-(Standards!D$15*K$5)))</f>
        <v/>
      </c>
      <c r="J56" s="12" t="str">
        <f>IF(F56="","",VLOOKUP(F56,Parts!A:J,10,FALSE))</f>
        <v/>
      </c>
      <c r="K56" s="12" t="str">
        <f>IF(F56="","",VLOOKUP(F56,Parts!A:N,14,FALSE))</f>
        <v/>
      </c>
      <c r="L56" s="33"/>
      <c r="M56" s="33"/>
      <c r="N56" s="8" t="str">
        <f>IF(F56="","",L$41-Q56-R56)</f>
        <v/>
      </c>
      <c r="O56" s="8">
        <f t="shared" si="4"/>
        <v>3.5000000000000003E-2</v>
      </c>
      <c r="P56" s="8" t="str">
        <f t="shared" si="6"/>
        <v/>
      </c>
      <c r="Q56" s="8">
        <f>(B56*Standards!D$15)+Q55</f>
        <v>0.95590153741114969</v>
      </c>
      <c r="R56" s="8">
        <f t="shared" si="5"/>
        <v>0.21000000000000002</v>
      </c>
      <c r="T56" s="59"/>
      <c r="U56" s="59"/>
      <c r="V56" s="59"/>
      <c r="W56" s="59"/>
      <c r="X56" s="59"/>
      <c r="Y56" s="59"/>
      <c r="Z56" s="59"/>
    </row>
    <row r="57" spans="1:26" s="8" customFormat="1" x14ac:dyDescent="0.25">
      <c r="A57" s="35">
        <v>15</v>
      </c>
      <c r="B57" s="34"/>
      <c r="C57" s="50"/>
      <c r="D57" s="53"/>
      <c r="E57" s="16"/>
      <c r="F57" s="13"/>
      <c r="G57" s="40"/>
      <c r="H57" s="6" t="str">
        <f>IF(F57="","",N57-VLOOKUP(F57,Parts!A:F,6,FALSE))</f>
        <v/>
      </c>
      <c r="I57" s="6" t="str">
        <f>IF(F57="","",IF(F57=0,"",H57-(Standards!D$14*L$5)-(Standards!D$15*K$5)))</f>
        <v/>
      </c>
      <c r="J57" s="12" t="str">
        <f>IF(F57="","",VLOOKUP(F57,Parts!A:J,10,FALSE))</f>
        <v/>
      </c>
      <c r="K57" s="12" t="str">
        <f>IF(F57="","",VLOOKUP(F57,Parts!A:N,14,FALSE))</f>
        <v/>
      </c>
      <c r="L57" s="33"/>
      <c r="M57" s="33"/>
      <c r="N57" s="8" t="str">
        <f>IF(F57="","",L$41-Q57-R57)</f>
        <v/>
      </c>
      <c r="O57" s="8">
        <f t="shared" si="4"/>
        <v>3.5000000000000003E-2</v>
      </c>
      <c r="P57" s="8" t="str">
        <f t="shared" si="6"/>
        <v/>
      </c>
      <c r="Q57" s="8">
        <f>(B57*Standards!D$15)+Q56</f>
        <v>0.95590153741114969</v>
      </c>
      <c r="R57" s="8">
        <f t="shared" si="5"/>
        <v>0.21000000000000002</v>
      </c>
      <c r="T57" s="59"/>
      <c r="U57" s="59"/>
      <c r="V57" s="59"/>
      <c r="W57" s="59"/>
      <c r="X57" s="59"/>
      <c r="Y57" s="59"/>
      <c r="Z57" s="59"/>
    </row>
    <row r="58" spans="1:26" s="8" customFormat="1" x14ac:dyDescent="0.25">
      <c r="A58" s="35">
        <v>16</v>
      </c>
      <c r="B58" s="34"/>
      <c r="C58" s="50"/>
      <c r="D58" s="53"/>
      <c r="E58" s="16"/>
      <c r="F58" s="13"/>
      <c r="G58" s="40"/>
      <c r="H58" s="6" t="str">
        <f>IF(F58="","",N58-VLOOKUP(F58,Parts!A:F,6,FALSE))</f>
        <v/>
      </c>
      <c r="I58" s="6" t="str">
        <f>IF(F58="","",IF(F58=0,"",H58-(Standards!D$14*L$5)-(Standards!D$15*K$5)))</f>
        <v/>
      </c>
      <c r="J58" s="12" t="str">
        <f>IF(F58="","",VLOOKUP(F58,Parts!A:J,10,FALSE))</f>
        <v/>
      </c>
      <c r="K58" s="12" t="str">
        <f>IF(F58="","",VLOOKUP(F58,Parts!A:N,14,FALSE))</f>
        <v/>
      </c>
      <c r="L58" s="33"/>
      <c r="M58" s="33"/>
      <c r="N58" s="8" t="str">
        <f>IF(F58="","",L$41-Q58-R58)</f>
        <v/>
      </c>
      <c r="O58" s="8">
        <f t="shared" si="4"/>
        <v>3.5000000000000003E-2</v>
      </c>
      <c r="P58" s="8" t="str">
        <f t="shared" si="6"/>
        <v/>
      </c>
      <c r="Q58" s="8">
        <f>(B58*Standards!D$15)+Q57</f>
        <v>0.95590153741114969</v>
      </c>
      <c r="R58" s="8">
        <f t="shared" si="5"/>
        <v>0.21000000000000002</v>
      </c>
      <c r="T58" s="59"/>
      <c r="U58" s="59"/>
      <c r="V58" s="59"/>
      <c r="W58" s="59"/>
      <c r="X58" s="59"/>
      <c r="Y58" s="59"/>
      <c r="Z58" s="59"/>
    </row>
    <row r="59" spans="1:26" s="8" customFormat="1" x14ac:dyDescent="0.25">
      <c r="A59" s="35">
        <v>17</v>
      </c>
      <c r="B59" s="34"/>
      <c r="C59" s="50"/>
      <c r="D59" s="53"/>
      <c r="E59" s="16"/>
      <c r="F59" s="13"/>
      <c r="G59" s="40"/>
      <c r="H59" s="6" t="str">
        <f>IF(F59="","",N59-VLOOKUP(F59,Parts!A:F,6,FALSE))</f>
        <v/>
      </c>
      <c r="I59" s="6" t="str">
        <f>IF(F59="","",IF(F59=0,"",H59-(Standards!D$14*L$5)-(Standards!D$15*K$5)))</f>
        <v/>
      </c>
      <c r="J59" s="12" t="str">
        <f>IF(F59="","",VLOOKUP(F59,Parts!A:J,10,FALSE))</f>
        <v/>
      </c>
      <c r="K59" s="12" t="str">
        <f>IF(F59="","",VLOOKUP(F59,Parts!A:N,14,FALSE))</f>
        <v/>
      </c>
      <c r="L59" s="33"/>
      <c r="M59" s="33"/>
      <c r="N59" s="8" t="str">
        <f>IF(F59="","",L$41-Q59-R59)</f>
        <v/>
      </c>
      <c r="O59" s="8">
        <f t="shared" si="4"/>
        <v>3.5000000000000003E-2</v>
      </c>
      <c r="P59" s="8" t="str">
        <f t="shared" si="6"/>
        <v/>
      </c>
      <c r="Q59" s="8">
        <f>(B59*Standards!D$15)+Q58</f>
        <v>0.95590153741114969</v>
      </c>
      <c r="R59" s="8">
        <f t="shared" si="5"/>
        <v>0.21000000000000002</v>
      </c>
      <c r="T59" s="59"/>
      <c r="U59" s="59"/>
      <c r="V59" s="59"/>
      <c r="W59" s="59"/>
      <c r="X59" s="59"/>
      <c r="Y59" s="59"/>
      <c r="Z59" s="59"/>
    </row>
    <row r="60" spans="1:26" s="8" customFormat="1" x14ac:dyDescent="0.25">
      <c r="A60" s="35">
        <v>18</v>
      </c>
      <c r="B60" s="34"/>
      <c r="C60" s="50"/>
      <c r="D60" s="53"/>
      <c r="E60" s="16"/>
      <c r="F60" s="13"/>
      <c r="G60" s="40"/>
      <c r="H60" s="6" t="str">
        <f>IF(F60="","",N60-VLOOKUP(F60,Parts!A:F,6,FALSE))</f>
        <v/>
      </c>
      <c r="I60" s="6" t="str">
        <f>IF(F60="","",IF(F60=0,"",H60-(Standards!D$14*L$5)-(Standards!D$15*K$5)))</f>
        <v/>
      </c>
      <c r="J60" s="12" t="str">
        <f>IF(F60="","",VLOOKUP(F60,Parts!A:J,10,FALSE))</f>
        <v/>
      </c>
      <c r="K60" s="12" t="str">
        <f>IF(F60="","",VLOOKUP(F60,Parts!A:N,14,FALSE))</f>
        <v/>
      </c>
      <c r="L60" s="33"/>
      <c r="M60" s="33"/>
      <c r="N60" s="8" t="str">
        <f>IF(F60="","",L$41-Q60-R60)</f>
        <v/>
      </c>
      <c r="O60" s="8">
        <f t="shared" si="4"/>
        <v>3.5000000000000003E-2</v>
      </c>
      <c r="P60" s="8" t="str">
        <f t="shared" si="6"/>
        <v/>
      </c>
      <c r="Q60" s="8">
        <f>(B60*Standards!D$15)+Q59</f>
        <v>0.95590153741114969</v>
      </c>
      <c r="R60" s="8">
        <f t="shared" si="5"/>
        <v>0.21000000000000002</v>
      </c>
      <c r="T60" s="59"/>
      <c r="U60" s="59"/>
      <c r="V60" s="59"/>
      <c r="W60" s="59"/>
      <c r="X60" s="59"/>
      <c r="Y60" s="59"/>
      <c r="Z60" s="59"/>
    </row>
    <row r="61" spans="1:26" s="8" customFormat="1" x14ac:dyDescent="0.25">
      <c r="A61" s="35">
        <v>19</v>
      </c>
      <c r="B61" s="34"/>
      <c r="C61" s="50"/>
      <c r="D61" s="53"/>
      <c r="E61" s="16"/>
      <c r="F61" s="13"/>
      <c r="G61" s="40"/>
      <c r="H61" s="6" t="str">
        <f>IF(F61="","",N61-VLOOKUP(F61,Parts!A:F,6,FALSE))</f>
        <v/>
      </c>
      <c r="I61" s="6" t="str">
        <f>IF(F61="","",IF(F61=0,"",H61-(Standards!D$14*L$5)-(Standards!D$15*K$5)))</f>
        <v/>
      </c>
      <c r="J61" s="12" t="str">
        <f>IF(F61="","",VLOOKUP(F61,Parts!A:J,10,FALSE))</f>
        <v/>
      </c>
      <c r="K61" s="12" t="str">
        <f>IF(F61="","",VLOOKUP(F61,Parts!A:N,14,FALSE))</f>
        <v/>
      </c>
      <c r="L61" s="33"/>
      <c r="M61" s="33"/>
      <c r="N61" s="8" t="str">
        <f>IF(F61="","",L$41-Q61-R61)</f>
        <v/>
      </c>
      <c r="O61" s="8">
        <f t="shared" si="4"/>
        <v>3.5000000000000003E-2</v>
      </c>
      <c r="P61" s="8" t="str">
        <f t="shared" si="6"/>
        <v/>
      </c>
      <c r="Q61" s="8">
        <f>(B61*Standards!D$15)+Q60</f>
        <v>0.95590153741114969</v>
      </c>
      <c r="R61" s="8">
        <f t="shared" si="5"/>
        <v>0.21000000000000002</v>
      </c>
      <c r="T61" s="59"/>
      <c r="U61" s="59"/>
      <c r="V61" s="59"/>
      <c r="W61" s="59"/>
      <c r="X61" s="59"/>
      <c r="Y61" s="59"/>
      <c r="Z61" s="59"/>
    </row>
    <row r="62" spans="1:26" s="8" customFormat="1" x14ac:dyDescent="0.25">
      <c r="A62" s="35">
        <v>20</v>
      </c>
      <c r="B62" s="34"/>
      <c r="C62" s="50"/>
      <c r="D62" s="53"/>
      <c r="E62" s="16"/>
      <c r="F62" s="13"/>
      <c r="G62" s="40"/>
      <c r="H62" s="6" t="str">
        <f>IF(F62="","",N62-VLOOKUP(F62,Parts!A:F,6,FALSE))</f>
        <v/>
      </c>
      <c r="I62" s="6" t="str">
        <f>IF(F62="","",IF(F62=0,"",H62-(Standards!D$14*L$5)-(Standards!D$15*K$5)))</f>
        <v/>
      </c>
      <c r="J62" s="12" t="str">
        <f>IF(F62="","",VLOOKUP(F62,Parts!A:J,10,FALSE))</f>
        <v/>
      </c>
      <c r="K62" s="12" t="str">
        <f>IF(F62="","",VLOOKUP(F62,Parts!A:N,14,FALSE))</f>
        <v/>
      </c>
      <c r="L62" s="33"/>
      <c r="M62" s="33"/>
      <c r="N62" s="8" t="str">
        <f>IF(F62="","",L$41-Q62-R62)</f>
        <v/>
      </c>
      <c r="O62" s="8">
        <f t="shared" si="4"/>
        <v>3.5000000000000003E-2</v>
      </c>
      <c r="P62" s="8" t="str">
        <f t="shared" si="6"/>
        <v/>
      </c>
      <c r="Q62" s="8">
        <f>(B62*Standards!D$15)+Q61</f>
        <v>0.95590153741114969</v>
      </c>
      <c r="R62" s="8">
        <f t="shared" si="5"/>
        <v>0.21000000000000002</v>
      </c>
      <c r="T62" s="59"/>
      <c r="U62" s="59"/>
      <c r="V62" s="59"/>
      <c r="W62" s="59"/>
      <c r="X62" s="59"/>
      <c r="Y62" s="59"/>
      <c r="Z62" s="59"/>
    </row>
    <row r="63" spans="1:26" s="8" customFormat="1" x14ac:dyDescent="0.25">
      <c r="A63" s="35">
        <v>21</v>
      </c>
      <c r="B63" s="34"/>
      <c r="C63" s="50"/>
      <c r="D63" s="53"/>
      <c r="E63" s="16"/>
      <c r="F63" s="13"/>
      <c r="G63" s="40"/>
      <c r="H63" s="6" t="str">
        <f>IF(F63="","",N63-VLOOKUP(F63,Parts!A:F,6,FALSE))</f>
        <v/>
      </c>
      <c r="I63" s="6" t="str">
        <f>IF(F63="","",IF(F63=0,"",H63-(Standards!D$14*L$5)-(Standards!D$15*K$5)))</f>
        <v/>
      </c>
      <c r="J63" s="12" t="str">
        <f>IF(F63="","",VLOOKUP(F63,Parts!A:J,10,FALSE))</f>
        <v/>
      </c>
      <c r="K63" s="12" t="str">
        <f>IF(F63="","",VLOOKUP(F63,Parts!A:N,14,FALSE))</f>
        <v/>
      </c>
      <c r="L63" s="33"/>
      <c r="M63" s="33"/>
      <c r="N63" s="8" t="str">
        <f>IF(F63="","",L$41-Q63-R63)</f>
        <v/>
      </c>
      <c r="O63" s="8">
        <f t="shared" si="4"/>
        <v>3.5000000000000003E-2</v>
      </c>
      <c r="P63" s="8" t="str">
        <f t="shared" si="6"/>
        <v/>
      </c>
      <c r="Q63" s="8">
        <f>(B63*Standards!D$15)+Q62</f>
        <v>0.95590153741114969</v>
      </c>
      <c r="R63" s="8">
        <f t="shared" si="5"/>
        <v>0.21000000000000002</v>
      </c>
      <c r="T63" s="59"/>
      <c r="U63" s="59"/>
      <c r="V63" s="59"/>
      <c r="W63" s="59"/>
      <c r="X63" s="59"/>
      <c r="Y63" s="59"/>
      <c r="Z63" s="59"/>
    </row>
    <row r="64" spans="1:26" s="8" customFormat="1" x14ac:dyDescent="0.25">
      <c r="A64" s="35">
        <v>22</v>
      </c>
      <c r="B64" s="34"/>
      <c r="C64" s="50"/>
      <c r="D64" s="53"/>
      <c r="E64" s="16"/>
      <c r="F64" s="13"/>
      <c r="G64" s="40"/>
      <c r="H64" s="6" t="str">
        <f>IF(F64="","",N64-VLOOKUP(F64,Parts!A:F,6,FALSE))</f>
        <v/>
      </c>
      <c r="I64" s="6" t="str">
        <f>IF(F64="","",IF(F64=0,"",H64-(Standards!D$14*L$5)-(Standards!D$15*K$5)))</f>
        <v/>
      </c>
      <c r="J64" s="12" t="str">
        <f>IF(F64="","",VLOOKUP(F64,Parts!A:J,10,FALSE))</f>
        <v/>
      </c>
      <c r="K64" s="12" t="str">
        <f>IF(F64="","",VLOOKUP(F64,Parts!A:N,14,FALSE))</f>
        <v/>
      </c>
      <c r="L64" s="33"/>
      <c r="M64" s="33"/>
      <c r="N64" s="8" t="str">
        <f>IF(F64="","",L$41-Q64-R64)</f>
        <v/>
      </c>
      <c r="O64" s="8">
        <f t="shared" si="4"/>
        <v>3.5000000000000003E-2</v>
      </c>
      <c r="P64" s="8" t="str">
        <f t="shared" si="6"/>
        <v/>
      </c>
      <c r="Q64" s="8">
        <f>(B64*Standards!D$15)+Q63</f>
        <v>0.95590153741114969</v>
      </c>
      <c r="R64" s="8">
        <f t="shared" si="5"/>
        <v>0.21000000000000002</v>
      </c>
      <c r="T64" s="59"/>
      <c r="U64" s="59"/>
      <c r="V64" s="59"/>
      <c r="W64" s="59"/>
      <c r="X64" s="59"/>
      <c r="Y64" s="59"/>
      <c r="Z64" s="59"/>
    </row>
    <row r="65" spans="1:26" s="8" customFormat="1" x14ac:dyDescent="0.25">
      <c r="A65" s="35">
        <v>23</v>
      </c>
      <c r="B65" s="34"/>
      <c r="C65" s="50"/>
      <c r="D65" s="53"/>
      <c r="E65" s="16"/>
      <c r="F65" s="13"/>
      <c r="G65" s="40"/>
      <c r="H65" s="6" t="str">
        <f>IF(F65="","",N65-VLOOKUP(F65,Parts!A:F,6,FALSE))</f>
        <v/>
      </c>
      <c r="I65" s="6" t="str">
        <f>IF(F65="","",IF(F65=0,"",H65-(Standards!D$14*L$5)-(Standards!D$15*K$5)))</f>
        <v/>
      </c>
      <c r="J65" s="12" t="str">
        <f>IF(F65="","",VLOOKUP(F65,Parts!A:J,10,FALSE))</f>
        <v/>
      </c>
      <c r="K65" s="12" t="str">
        <f>IF(F65="","",VLOOKUP(F65,Parts!A:N,14,FALSE))</f>
        <v/>
      </c>
      <c r="L65" s="33"/>
      <c r="M65" s="33"/>
      <c r="N65" s="8" t="str">
        <f>IF(F65="","",L$41-Q65-R65)</f>
        <v/>
      </c>
      <c r="O65" s="8">
        <f t="shared" si="4"/>
        <v>3.5000000000000003E-2</v>
      </c>
      <c r="P65" s="8" t="str">
        <f t="shared" si="6"/>
        <v/>
      </c>
      <c r="Q65" s="8">
        <f>(B65*Standards!D$15)+Q64</f>
        <v>0.95590153741114969</v>
      </c>
      <c r="R65" s="8">
        <f t="shared" si="5"/>
        <v>0.21000000000000002</v>
      </c>
      <c r="T65" s="59"/>
      <c r="U65" s="59"/>
      <c r="V65" s="59"/>
      <c r="W65" s="59"/>
      <c r="X65" s="59"/>
      <c r="Y65" s="59"/>
      <c r="Z65" s="59"/>
    </row>
    <row r="66" spans="1:26" s="8" customFormat="1" x14ac:dyDescent="0.25">
      <c r="A66" s="35">
        <v>24</v>
      </c>
      <c r="B66" s="34"/>
      <c r="C66" s="50"/>
      <c r="D66" s="53"/>
      <c r="E66" s="16"/>
      <c r="F66" s="13"/>
      <c r="G66" s="40"/>
      <c r="H66" s="6" t="str">
        <f>IF(F66="","",N66-VLOOKUP(F66,Parts!A:F,6,FALSE))</f>
        <v/>
      </c>
      <c r="I66" s="6" t="str">
        <f>IF(F66="","",IF(F66=0,"",H66-(Standards!D$14*L$5)-(Standards!D$15*K$5)))</f>
        <v/>
      </c>
      <c r="J66" s="12" t="str">
        <f>IF(F66="","",VLOOKUP(F66,Parts!A:J,10,FALSE))</f>
        <v/>
      </c>
      <c r="K66" s="12" t="str">
        <f>IF(F66="","",VLOOKUP(F66,Parts!A:N,14,FALSE))</f>
        <v/>
      </c>
      <c r="L66" s="33"/>
      <c r="M66" s="33"/>
      <c r="N66" s="8" t="str">
        <f>IF(F66="","",L$41-Q66-R66)</f>
        <v/>
      </c>
      <c r="O66" s="8">
        <f t="shared" si="4"/>
        <v>3.5000000000000003E-2</v>
      </c>
      <c r="P66" s="8" t="str">
        <f t="shared" si="6"/>
        <v/>
      </c>
      <c r="Q66" s="8">
        <f>(B66*Standards!D$15)+Q65</f>
        <v>0.95590153741114969</v>
      </c>
      <c r="R66" s="8">
        <f t="shared" si="5"/>
        <v>0.21000000000000002</v>
      </c>
      <c r="T66" s="59"/>
      <c r="U66" s="59"/>
      <c r="V66" s="59"/>
      <c r="W66" s="59"/>
      <c r="X66" s="59"/>
      <c r="Y66" s="59"/>
      <c r="Z66" s="59"/>
    </row>
    <row r="67" spans="1:26" s="8" customFormat="1" x14ac:dyDescent="0.25">
      <c r="A67" s="35">
        <v>25</v>
      </c>
      <c r="B67" s="34"/>
      <c r="C67" s="50"/>
      <c r="D67" s="53"/>
      <c r="E67" s="16"/>
      <c r="F67" s="13"/>
      <c r="G67" s="40"/>
      <c r="H67" s="6" t="str">
        <f>IF(F67="","",N67-VLOOKUP(F67,Parts!A:F,6,FALSE))</f>
        <v/>
      </c>
      <c r="I67" s="6" t="str">
        <f>IF(F67="","",IF(F67=0,"",H67-(Standards!D$14*L$5)-(Standards!D$15*K$5)))</f>
        <v/>
      </c>
      <c r="J67" s="12" t="str">
        <f>IF(F67="","",VLOOKUP(F67,Parts!A:J,10,FALSE))</f>
        <v/>
      </c>
      <c r="K67" s="12" t="str">
        <f>IF(F67="","",VLOOKUP(F67,Parts!A:N,14,FALSE))</f>
        <v/>
      </c>
      <c r="L67" s="33"/>
      <c r="M67" s="33"/>
      <c r="N67" s="8" t="str">
        <f>IF(F67="","",L$41-Q67-R67)</f>
        <v/>
      </c>
      <c r="O67" s="8">
        <f t="shared" si="4"/>
        <v>3.5000000000000003E-2</v>
      </c>
      <c r="P67" s="8" t="str">
        <f t="shared" si="6"/>
        <v/>
      </c>
      <c r="Q67" s="8">
        <f>(B67*Standards!D$15)+Q66</f>
        <v>0.95590153741114969</v>
      </c>
      <c r="R67" s="8">
        <f t="shared" si="5"/>
        <v>0.21000000000000002</v>
      </c>
      <c r="T67" s="59"/>
      <c r="U67" s="59"/>
      <c r="V67" s="59"/>
      <c r="W67" s="59"/>
      <c r="X67" s="59"/>
      <c r="Y67" s="59"/>
      <c r="Z67" s="59"/>
    </row>
    <row r="68" spans="1:26" s="8" customFormat="1" x14ac:dyDescent="0.25">
      <c r="A68" s="35">
        <v>26</v>
      </c>
      <c r="B68" s="34"/>
      <c r="C68" s="50"/>
      <c r="D68" s="53"/>
      <c r="E68" s="16"/>
      <c r="F68" s="13"/>
      <c r="G68" s="40"/>
      <c r="H68" s="6" t="str">
        <f>IF(F68="","",N68-VLOOKUP(F68,Parts!A:F,6,FALSE))</f>
        <v/>
      </c>
      <c r="I68" s="6" t="str">
        <f>IF(F68="","",IF(F68=0,"",H68-(Standards!D$14*L$5)-(Standards!D$15*K$5)))</f>
        <v/>
      </c>
      <c r="J68" s="12" t="str">
        <f>IF(F68="","",VLOOKUP(F68,Parts!A:J,10,FALSE))</f>
        <v/>
      </c>
      <c r="K68" s="12" t="str">
        <f>IF(F68="","",VLOOKUP(F68,Parts!A:N,14,FALSE))</f>
        <v/>
      </c>
      <c r="L68" s="33"/>
      <c r="M68" s="33"/>
      <c r="N68" s="8" t="str">
        <f>IF(F68="","",L$41-Q68-R68)</f>
        <v/>
      </c>
      <c r="O68" s="8">
        <f t="shared" si="4"/>
        <v>3.5000000000000003E-2</v>
      </c>
      <c r="P68" s="8" t="str">
        <f t="shared" si="6"/>
        <v/>
      </c>
      <c r="Q68" s="8">
        <f>(B68*Standards!D$15)+Q67</f>
        <v>0.95590153741114969</v>
      </c>
      <c r="R68" s="8">
        <f t="shared" si="5"/>
        <v>0.21000000000000002</v>
      </c>
      <c r="T68" s="59"/>
      <c r="U68" s="59"/>
      <c r="V68" s="59"/>
      <c r="W68" s="59"/>
      <c r="X68" s="59"/>
      <c r="Y68" s="59"/>
      <c r="Z68" s="59"/>
    </row>
    <row r="69" spans="1:26" s="8" customFormat="1" x14ac:dyDescent="0.25">
      <c r="A69" s="35">
        <v>27</v>
      </c>
      <c r="B69" s="34"/>
      <c r="C69" s="50"/>
      <c r="D69" s="53"/>
      <c r="E69" s="16"/>
      <c r="F69" s="13"/>
      <c r="G69" s="40"/>
      <c r="H69" s="6" t="str">
        <f>IF(F69="","",N69-VLOOKUP(F69,Parts!A:F,6,FALSE))</f>
        <v/>
      </c>
      <c r="I69" s="6" t="str">
        <f>IF(F69="","",IF(F69=0,"",H69-(Standards!D$14*L$5)-(Standards!D$15*K$5)))</f>
        <v/>
      </c>
      <c r="J69" s="12" t="str">
        <f>IF(F69="","",VLOOKUP(F69,Parts!A:J,10,FALSE))</f>
        <v/>
      </c>
      <c r="K69" s="12" t="str">
        <f>IF(F69="","",VLOOKUP(F69,Parts!A:N,14,FALSE))</f>
        <v/>
      </c>
      <c r="L69" s="33"/>
      <c r="M69" s="33"/>
      <c r="N69" s="8" t="str">
        <f>IF(F69="","",L$41-Q69-R69)</f>
        <v/>
      </c>
      <c r="O69" s="8">
        <f t="shared" si="4"/>
        <v>3.5000000000000003E-2</v>
      </c>
      <c r="P69" s="8" t="str">
        <f t="shared" si="6"/>
        <v/>
      </c>
      <c r="Q69" s="8">
        <f>(B69*Standards!D$15)+Q68</f>
        <v>0.95590153741114969</v>
      </c>
      <c r="R69" s="8">
        <f t="shared" si="5"/>
        <v>0.21000000000000002</v>
      </c>
      <c r="T69" s="59"/>
      <c r="U69" s="59"/>
      <c r="V69" s="59"/>
      <c r="W69" s="59"/>
      <c r="X69" s="59"/>
      <c r="Y69" s="59"/>
      <c r="Z69" s="59"/>
    </row>
    <row r="70" spans="1:26" s="8" customFormat="1" x14ac:dyDescent="0.25">
      <c r="A70" s="35">
        <v>28</v>
      </c>
      <c r="B70" s="34"/>
      <c r="C70" s="50"/>
      <c r="D70" s="53"/>
      <c r="E70" s="16"/>
      <c r="F70" s="13"/>
      <c r="G70" s="40"/>
      <c r="H70" s="6" t="str">
        <f>IF(F70="","",N70-VLOOKUP(F70,Parts!A:F,6,FALSE))</f>
        <v/>
      </c>
      <c r="I70" s="6" t="str">
        <f>IF(F70="","",IF(F70=0,"",H70-(Standards!D$14*L$5)-(Standards!D$15*K$5)))</f>
        <v/>
      </c>
      <c r="J70" s="12" t="str">
        <f>IF(F70="","",VLOOKUP(F70,Parts!A:J,10,FALSE))</f>
        <v/>
      </c>
      <c r="K70" s="12" t="str">
        <f>IF(F70="","",VLOOKUP(F70,Parts!A:N,14,FALSE))</f>
        <v/>
      </c>
      <c r="L70" s="33"/>
      <c r="M70" s="33"/>
      <c r="N70" s="8" t="str">
        <f>IF(F70="","",L$41-Q70-R70)</f>
        <v/>
      </c>
      <c r="O70" s="8">
        <f t="shared" si="4"/>
        <v>3.5000000000000003E-2</v>
      </c>
      <c r="P70" s="8" t="str">
        <f t="shared" si="6"/>
        <v/>
      </c>
      <c r="Q70" s="8">
        <f>(B70*Standards!D$15)+Q69</f>
        <v>0.95590153741114969</v>
      </c>
      <c r="R70" s="8">
        <f t="shared" si="5"/>
        <v>0.21000000000000002</v>
      </c>
      <c r="T70" s="59"/>
      <c r="U70" s="59"/>
      <c r="V70" s="59"/>
      <c r="W70" s="59"/>
      <c r="X70" s="59"/>
      <c r="Y70" s="59"/>
      <c r="Z70" s="59"/>
    </row>
    <row r="71" spans="1:26" s="8" customFormat="1" x14ac:dyDescent="0.25">
      <c r="A71" s="35">
        <v>29</v>
      </c>
      <c r="B71" s="34"/>
      <c r="C71" s="50"/>
      <c r="D71" s="53"/>
      <c r="E71" s="16"/>
      <c r="F71" s="13"/>
      <c r="G71" s="40"/>
      <c r="H71" s="6" t="str">
        <f>IF(F71="","",N71-VLOOKUP(F71,Parts!A:F,6,FALSE))</f>
        <v/>
      </c>
      <c r="I71" s="6" t="str">
        <f>IF(F71="","",IF(F71=0,"",H71-(Standards!D$14*L$5)-(Standards!D$15*K$5)))</f>
        <v/>
      </c>
      <c r="J71" s="12" t="str">
        <f>IF(F71="","",VLOOKUP(F71,Parts!A:J,10,FALSE))</f>
        <v/>
      </c>
      <c r="K71" s="12" t="str">
        <f>IF(F71="","",VLOOKUP(F71,Parts!A:N,14,FALSE))</f>
        <v/>
      </c>
      <c r="L71" s="33"/>
      <c r="M71" s="33"/>
      <c r="N71" s="8" t="str">
        <f>IF(F71="","",L$41-Q71-R71)</f>
        <v/>
      </c>
      <c r="O71" s="8">
        <f t="shared" si="4"/>
        <v>3.5000000000000003E-2</v>
      </c>
      <c r="P71" s="8" t="str">
        <f t="shared" si="6"/>
        <v/>
      </c>
      <c r="Q71" s="8">
        <f>(B71*Standards!D$15)+Q70</f>
        <v>0.95590153741114969</v>
      </c>
      <c r="R71" s="8">
        <f t="shared" si="5"/>
        <v>0.21000000000000002</v>
      </c>
      <c r="T71" s="59"/>
      <c r="U71" s="59"/>
      <c r="V71" s="59"/>
      <c r="W71" s="59"/>
      <c r="X71" s="59"/>
      <c r="Y71" s="59"/>
      <c r="Z71" s="59"/>
    </row>
    <row r="73" spans="1:26" ht="18.75" x14ac:dyDescent="0.3">
      <c r="A73" s="94" t="s">
        <v>195</v>
      </c>
      <c r="C73" s="96" t="s">
        <v>191</v>
      </c>
      <c r="K73" s="93" t="s">
        <v>190</v>
      </c>
      <c r="L73" s="95">
        <f>P12</f>
        <v>-11.129012448031602</v>
      </c>
    </row>
    <row r="74" spans="1:26" s="7" customFormat="1" ht="40.5" customHeight="1" x14ac:dyDescent="0.25">
      <c r="A74" s="20" t="s">
        <v>151</v>
      </c>
      <c r="B74" s="21" t="s">
        <v>152</v>
      </c>
      <c r="C74" s="21" t="s">
        <v>153</v>
      </c>
      <c r="D74" s="19" t="s">
        <v>154</v>
      </c>
      <c r="E74" s="19" t="s">
        <v>155</v>
      </c>
      <c r="F74" s="19" t="s">
        <v>156</v>
      </c>
      <c r="G74" s="19" t="s">
        <v>157</v>
      </c>
      <c r="H74" s="19" t="s">
        <v>158</v>
      </c>
      <c r="I74" s="19" t="s">
        <v>159</v>
      </c>
      <c r="J74" s="19" t="s">
        <v>87</v>
      </c>
      <c r="K74" s="20" t="s">
        <v>160</v>
      </c>
      <c r="L74" s="19" t="s">
        <v>161</v>
      </c>
      <c r="M74" s="20" t="s">
        <v>162</v>
      </c>
      <c r="N74" s="8" t="s">
        <v>163</v>
      </c>
      <c r="O74" s="8" t="s">
        <v>164</v>
      </c>
      <c r="P74" s="8" t="s">
        <v>165</v>
      </c>
      <c r="Q74" s="8">
        <f>Q12</f>
        <v>0.97828604869484537</v>
      </c>
      <c r="R74" s="8">
        <f>R12</f>
        <v>0.17500000000000002</v>
      </c>
      <c r="S74" s="36"/>
      <c r="T74" s="61"/>
      <c r="U74" s="61"/>
      <c r="V74" s="61"/>
      <c r="W74" s="61"/>
      <c r="X74" s="61"/>
      <c r="Y74" s="61"/>
      <c r="Z74" s="61"/>
    </row>
    <row r="75" spans="1:26" x14ac:dyDescent="0.25">
      <c r="A75" s="35">
        <v>1</v>
      </c>
      <c r="B75" s="34">
        <f>693+100</f>
        <v>793</v>
      </c>
      <c r="C75" s="50" t="s">
        <v>237</v>
      </c>
      <c r="D75" s="90" t="s">
        <v>176</v>
      </c>
      <c r="E75" s="18" t="s">
        <v>91</v>
      </c>
      <c r="F75" s="13">
        <v>4</v>
      </c>
      <c r="G75" s="40"/>
      <c r="H75" s="6">
        <f>IF(F75="","",N75-VLOOKUP(F75,Parts!A:F,6,FALSE))</f>
        <v>-19.639478670096683</v>
      </c>
      <c r="I75" s="6">
        <f>IF(F75="","",IF(F75=0,"",H75-(Standards!D$14*L$5)-(Standards!D$15*K$5)))</f>
        <v>-19.994926665122346</v>
      </c>
      <c r="J75" s="12" t="str">
        <f>IF(F75="","",VLOOKUP(F75,Parts!A:J,10,FALSE))</f>
        <v>USBM1X4</v>
      </c>
      <c r="K75" s="12" t="str">
        <f>IF(F75="","",VLOOKUP(F75,Parts!A:N,14,FALSE))</f>
        <v>PLO-U-104-SCA-SCA</v>
      </c>
      <c r="L75" s="33" t="s">
        <v>336</v>
      </c>
      <c r="M75" s="33" t="s">
        <v>337</v>
      </c>
      <c r="N75" s="8">
        <f>IF(F75="","",L$73-Q75-R75)</f>
        <v>-12.399478670096682</v>
      </c>
      <c r="O75" s="8">
        <f t="shared" ref="O75:O100" si="7">VLOOKUP(H$5,Losses,3,FALSE)</f>
        <v>3.5000000000000003E-2</v>
      </c>
      <c r="P75" s="8">
        <f>IF(F75="","",N75-O75)</f>
        <v>-12.434478670096683</v>
      </c>
      <c r="Q75" s="8">
        <f>(B75*Standards!D$15)+Q74</f>
        <v>1.0604662220650798</v>
      </c>
      <c r="R75" s="8">
        <f t="shared" ref="R75:R100" si="8">IF(F75&lt;&gt;"",VLOOKUP(H$5,Losses,3,FALSE)+R74,R74)</f>
        <v>0.21000000000000002</v>
      </c>
    </row>
    <row r="76" spans="1:26" x14ac:dyDescent="0.25">
      <c r="A76" s="35">
        <v>2</v>
      </c>
      <c r="B76" s="34"/>
      <c r="C76" s="50"/>
      <c r="D76" s="90"/>
      <c r="E76" s="16"/>
      <c r="F76" s="13"/>
      <c r="G76" s="55"/>
      <c r="H76" s="6" t="str">
        <f>IF(F76="","",N76-VLOOKUP(F76,Parts!A:F,6,FALSE))</f>
        <v/>
      </c>
      <c r="I76" s="6" t="str">
        <f>IF(F76="","",IF(F76=0,"",H76-(Standards!D$14*L$5)-(Standards!D$15*K$5)))</f>
        <v/>
      </c>
      <c r="J76" s="12" t="str">
        <f>IF(F76="","",VLOOKUP(F76,Parts!A:J,10,FALSE))</f>
        <v/>
      </c>
      <c r="K76" s="12" t="str">
        <f>IF(F76="","",VLOOKUP(F76,Parts!A:N,14,FALSE))</f>
        <v/>
      </c>
      <c r="L76" s="33"/>
      <c r="M76" s="33"/>
      <c r="N76" s="8" t="str">
        <f>IF(F76="","",L$73-Q76-R76)</f>
        <v/>
      </c>
      <c r="O76" s="8">
        <f t="shared" si="7"/>
        <v>3.5000000000000003E-2</v>
      </c>
      <c r="P76" s="8" t="str">
        <f t="shared" ref="P76:P100" si="9">IF(F76="","",N76-O76)</f>
        <v/>
      </c>
      <c r="Q76" s="8">
        <f>(B76*Standards!D$15)+Q75</f>
        <v>1.0604662220650798</v>
      </c>
      <c r="R76" s="8">
        <f t="shared" si="8"/>
        <v>0.21000000000000002</v>
      </c>
    </row>
    <row r="77" spans="1:26" x14ac:dyDescent="0.25">
      <c r="A77" s="35">
        <v>3</v>
      </c>
      <c r="B77" s="34"/>
      <c r="C77" s="50"/>
      <c r="D77" s="90"/>
      <c r="E77" s="17"/>
      <c r="F77" s="13"/>
      <c r="G77" s="40"/>
      <c r="H77" s="6" t="str">
        <f>IF(F77="","",N77-VLOOKUP(F77,Parts!A:F,6,FALSE))</f>
        <v/>
      </c>
      <c r="I77" s="6" t="str">
        <f>IF(F77="","",IF(F77=0,"",H77-(Standards!D$14*L$5)-(Standards!D$15*K$5)))</f>
        <v/>
      </c>
      <c r="J77" s="12" t="str">
        <f>IF(F77="","",VLOOKUP(F77,Parts!A:J,10,FALSE))</f>
        <v/>
      </c>
      <c r="K77" s="12" t="str">
        <f>IF(F77="","",VLOOKUP(F77,Parts!A:N,14,FALSE))</f>
        <v/>
      </c>
      <c r="L77" s="33"/>
      <c r="M77" s="33"/>
      <c r="N77" s="8" t="str">
        <f>IF(F77="","",L$73-Q77-R77)</f>
        <v/>
      </c>
      <c r="O77" s="8">
        <f t="shared" si="7"/>
        <v>3.5000000000000003E-2</v>
      </c>
      <c r="P77" s="8" t="str">
        <f t="shared" si="9"/>
        <v/>
      </c>
      <c r="Q77" s="8">
        <f>(B77*Standards!D$15)+Q76</f>
        <v>1.0604662220650798</v>
      </c>
      <c r="R77" s="8">
        <f t="shared" si="8"/>
        <v>0.21000000000000002</v>
      </c>
    </row>
    <row r="78" spans="1:26" x14ac:dyDescent="0.25">
      <c r="A78" s="35">
        <v>4</v>
      </c>
      <c r="B78" s="34"/>
      <c r="C78" s="50"/>
      <c r="D78" s="51"/>
      <c r="E78" s="16"/>
      <c r="F78" s="13"/>
      <c r="G78" s="56"/>
      <c r="H78" s="6" t="str">
        <f>IF(F78="","",N78-VLOOKUP(F78,Parts!A:F,6,FALSE))</f>
        <v/>
      </c>
      <c r="I78" s="6" t="str">
        <f>IF(F78="","",IF(F78=0,"",H78-(Standards!D$14*L$5)-(Standards!D$15*K$5)))</f>
        <v/>
      </c>
      <c r="J78" s="12" t="str">
        <f>IF(F78="","",VLOOKUP(F78,Parts!A:J,10,FALSE))</f>
        <v/>
      </c>
      <c r="K78" s="12" t="str">
        <f>IF(F78="","",VLOOKUP(F78,Parts!A:N,14,FALSE))</f>
        <v/>
      </c>
      <c r="L78" s="33"/>
      <c r="M78" s="33"/>
      <c r="N78" s="8" t="str">
        <f>IF(F78="","",L$73-Q78-R78)</f>
        <v/>
      </c>
      <c r="O78" s="8">
        <f t="shared" si="7"/>
        <v>3.5000000000000003E-2</v>
      </c>
      <c r="P78" s="8" t="str">
        <f t="shared" si="9"/>
        <v/>
      </c>
      <c r="Q78" s="8">
        <f>(B78*Standards!D$15)+Q77</f>
        <v>1.0604662220650798</v>
      </c>
      <c r="R78" s="8">
        <f t="shared" si="8"/>
        <v>0.21000000000000002</v>
      </c>
    </row>
    <row r="79" spans="1:26" x14ac:dyDescent="0.25">
      <c r="A79" s="35">
        <v>5</v>
      </c>
      <c r="B79" s="34"/>
      <c r="C79" s="50"/>
      <c r="D79" s="51"/>
      <c r="E79" s="16"/>
      <c r="F79" s="13"/>
      <c r="G79" s="55"/>
      <c r="H79" s="6" t="str">
        <f>IF(F79="","",N79-VLOOKUP(F79,Parts!A:F,6,FALSE))</f>
        <v/>
      </c>
      <c r="I79" s="6" t="str">
        <f>IF(F79="","",IF(F79=0,"",H79-(Standards!D$14*L$5)-(Standards!D$15*K$5)))</f>
        <v/>
      </c>
      <c r="J79" s="12" t="str">
        <f>IF(F79="","",VLOOKUP(F79,Parts!A:J,10,FALSE))</f>
        <v/>
      </c>
      <c r="K79" s="12" t="str">
        <f>IF(F79="","",VLOOKUP(F79,Parts!A:N,14,FALSE))</f>
        <v/>
      </c>
      <c r="L79" s="33"/>
      <c r="M79" s="33"/>
      <c r="N79" s="8" t="str">
        <f>IF(F79="","",L$73-Q79-R79)</f>
        <v/>
      </c>
      <c r="O79" s="8">
        <f t="shared" si="7"/>
        <v>3.5000000000000003E-2</v>
      </c>
      <c r="P79" s="8" t="str">
        <f t="shared" si="9"/>
        <v/>
      </c>
      <c r="Q79" s="8">
        <f>(B79*Standards!D$15)+Q78</f>
        <v>1.0604662220650798</v>
      </c>
      <c r="R79" s="8">
        <f t="shared" si="8"/>
        <v>0.21000000000000002</v>
      </c>
    </row>
    <row r="80" spans="1:26" x14ac:dyDescent="0.25">
      <c r="A80" s="35">
        <v>6</v>
      </c>
      <c r="B80" s="34"/>
      <c r="C80" s="50"/>
      <c r="D80" s="51"/>
      <c r="E80" s="16"/>
      <c r="F80" s="13"/>
      <c r="G80" s="56"/>
      <c r="H80" s="6" t="str">
        <f>IF(F80="","",N80-VLOOKUP(F80,Parts!A:F,6,FALSE))</f>
        <v/>
      </c>
      <c r="I80" s="6" t="str">
        <f>IF(F80="","",IF(F80=0,"",H80-(Standards!D$14*L$5)-(Standards!D$15*K$5)))</f>
        <v/>
      </c>
      <c r="J80" s="12" t="str">
        <f>IF(F80="","",VLOOKUP(F80,Parts!A:J,10,FALSE))</f>
        <v/>
      </c>
      <c r="K80" s="12" t="str">
        <f>IF(F80="","",VLOOKUP(F80,Parts!A:N,14,FALSE))</f>
        <v/>
      </c>
      <c r="L80" s="33"/>
      <c r="M80" s="33"/>
      <c r="N80" s="8" t="str">
        <f>IF(F80="","",L$73-Q80-R80)</f>
        <v/>
      </c>
      <c r="O80" s="8">
        <f t="shared" si="7"/>
        <v>3.5000000000000003E-2</v>
      </c>
      <c r="P80" s="8" t="str">
        <f t="shared" si="9"/>
        <v/>
      </c>
      <c r="Q80" s="8">
        <f>(B80*Standards!D$15)+Q79</f>
        <v>1.0604662220650798</v>
      </c>
      <c r="R80" s="8">
        <f t="shared" si="8"/>
        <v>0.21000000000000002</v>
      </c>
    </row>
    <row r="81" spans="1:26" x14ac:dyDescent="0.25">
      <c r="A81" s="35">
        <v>7</v>
      </c>
      <c r="B81" s="34"/>
      <c r="C81" s="50"/>
      <c r="D81" s="51"/>
      <c r="E81" s="16"/>
      <c r="F81" s="13"/>
      <c r="G81" s="56"/>
      <c r="H81" s="6" t="str">
        <f>IF(F81="","",N81-VLOOKUP(F81,Parts!A:F,6,FALSE))</f>
        <v/>
      </c>
      <c r="I81" s="6" t="str">
        <f>IF(F81="","",IF(F81=0,"",H81-(Standards!D$14*L$5)-(Standards!D$15*K$5)))</f>
        <v/>
      </c>
      <c r="J81" s="12" t="str">
        <f>IF(F81="","",VLOOKUP(F81,Parts!A:J,10,FALSE))</f>
        <v/>
      </c>
      <c r="K81" s="12" t="str">
        <f>IF(F81="","",VLOOKUP(F81,Parts!A:N,14,FALSE))</f>
        <v/>
      </c>
      <c r="L81" s="33"/>
      <c r="M81" s="33"/>
      <c r="N81" s="8" t="str">
        <f>IF(F81="","",L$73-Q81-R81)</f>
        <v/>
      </c>
      <c r="O81" s="8">
        <f t="shared" si="7"/>
        <v>3.5000000000000003E-2</v>
      </c>
      <c r="P81" s="8" t="str">
        <f t="shared" si="9"/>
        <v/>
      </c>
      <c r="Q81" s="8">
        <f>(B81*Standards!D$15)+Q80</f>
        <v>1.0604662220650798</v>
      </c>
      <c r="R81" s="8">
        <f t="shared" si="8"/>
        <v>0.21000000000000002</v>
      </c>
    </row>
    <row r="82" spans="1:26" x14ac:dyDescent="0.25">
      <c r="A82" s="35">
        <v>8</v>
      </c>
      <c r="B82" s="34"/>
      <c r="C82" s="50"/>
      <c r="D82" s="51"/>
      <c r="E82" s="16"/>
      <c r="F82" s="13"/>
      <c r="G82" s="40"/>
      <c r="H82" s="6" t="str">
        <f>IF(F82="","",N82-VLOOKUP(F82,Parts!A:F,6,FALSE))</f>
        <v/>
      </c>
      <c r="I82" s="6" t="str">
        <f>IF(F82="","",IF(F82=0,"",H82-(Standards!D$14*L$5)-(Standards!D$15*K$5)))</f>
        <v/>
      </c>
      <c r="J82" s="12" t="str">
        <f>IF(F82="","",VLOOKUP(F82,Parts!A:J,10,FALSE))</f>
        <v/>
      </c>
      <c r="K82" s="12" t="str">
        <f>IF(F82="","",VLOOKUP(F82,Parts!A:N,14,FALSE))</f>
        <v/>
      </c>
      <c r="L82" s="33"/>
      <c r="M82" s="33"/>
      <c r="N82" s="8" t="str">
        <f>IF(F82="","",L$73-Q82-R82)</f>
        <v/>
      </c>
      <c r="O82" s="8">
        <f t="shared" si="7"/>
        <v>3.5000000000000003E-2</v>
      </c>
      <c r="P82" s="8" t="str">
        <f t="shared" si="9"/>
        <v/>
      </c>
      <c r="Q82" s="8">
        <f>(B82*Standards!D$15)+Q81</f>
        <v>1.0604662220650798</v>
      </c>
      <c r="R82" s="8">
        <f t="shared" si="8"/>
        <v>0.21000000000000002</v>
      </c>
    </row>
    <row r="83" spans="1:26" x14ac:dyDescent="0.25">
      <c r="A83" s="35">
        <v>9</v>
      </c>
      <c r="B83" s="34"/>
      <c r="C83" s="50"/>
      <c r="D83" s="52"/>
      <c r="E83" s="17"/>
      <c r="F83" s="13"/>
      <c r="G83" s="40"/>
      <c r="H83" s="6" t="str">
        <f>IF(F83="","",N83-VLOOKUP(F83,Parts!A:F,6,FALSE))</f>
        <v/>
      </c>
      <c r="I83" s="6" t="str">
        <f>IF(F83="","",IF(F83=0,"",H83-(Standards!D$14*L$5)-(Standards!D$15*K$5)))</f>
        <v/>
      </c>
      <c r="J83" s="12" t="str">
        <f>IF(F83="","",VLOOKUP(F83,Parts!A:J,10,FALSE))</f>
        <v/>
      </c>
      <c r="K83" s="12" t="str">
        <f>IF(F83="","",VLOOKUP(F83,Parts!A:N,14,FALSE))</f>
        <v/>
      </c>
      <c r="L83" s="33"/>
      <c r="M83" s="33"/>
      <c r="N83" s="8" t="str">
        <f>IF(F83="","",L$73-Q83-R83)</f>
        <v/>
      </c>
      <c r="O83" s="8">
        <f t="shared" si="7"/>
        <v>3.5000000000000003E-2</v>
      </c>
      <c r="P83" s="8" t="str">
        <f t="shared" si="9"/>
        <v/>
      </c>
      <c r="Q83" s="8">
        <f>(B83*Standards!D$15)+Q82</f>
        <v>1.0604662220650798</v>
      </c>
      <c r="R83" s="8">
        <f t="shared" si="8"/>
        <v>0.21000000000000002</v>
      </c>
    </row>
    <row r="84" spans="1:26" s="8" customFormat="1" x14ac:dyDescent="0.25">
      <c r="A84" s="35">
        <v>10</v>
      </c>
      <c r="B84" s="34"/>
      <c r="C84" s="50"/>
      <c r="D84" s="52"/>
      <c r="E84" s="17"/>
      <c r="F84" s="13"/>
      <c r="G84" s="40"/>
      <c r="H84" s="6" t="str">
        <f>IF(F84="","",N84-VLOOKUP(F84,Parts!A:F,6,FALSE))</f>
        <v/>
      </c>
      <c r="I84" s="6" t="str">
        <f>IF(F84="","",IF(F84=0,"",H84-(Standards!D$14*L$5)-(Standards!D$15*K$5)))</f>
        <v/>
      </c>
      <c r="J84" s="12" t="str">
        <f>IF(F84="","",VLOOKUP(F84,Parts!A:J,10,FALSE))</f>
        <v/>
      </c>
      <c r="K84" s="12" t="str">
        <f>IF(F84="","",VLOOKUP(F84,Parts!A:N,14,FALSE))</f>
        <v/>
      </c>
      <c r="L84" s="33"/>
      <c r="M84" s="33"/>
      <c r="N84" s="8" t="str">
        <f>IF(F84="","",L$73-Q84-R84)</f>
        <v/>
      </c>
      <c r="O84" s="8">
        <f t="shared" si="7"/>
        <v>3.5000000000000003E-2</v>
      </c>
      <c r="P84" s="8" t="str">
        <f t="shared" si="9"/>
        <v/>
      </c>
      <c r="Q84" s="8">
        <f>(B84*Standards!D$15)+Q83</f>
        <v>1.0604662220650798</v>
      </c>
      <c r="R84" s="8">
        <f t="shared" si="8"/>
        <v>0.21000000000000002</v>
      </c>
      <c r="T84" s="59"/>
      <c r="U84" s="59"/>
      <c r="V84" s="59"/>
      <c r="W84" s="59"/>
      <c r="X84" s="59"/>
      <c r="Y84" s="59"/>
      <c r="Z84" s="59"/>
    </row>
    <row r="85" spans="1:26" s="8" customFormat="1" x14ac:dyDescent="0.25">
      <c r="A85" s="35">
        <v>11</v>
      </c>
      <c r="B85" s="34"/>
      <c r="C85" s="50"/>
      <c r="D85" s="51"/>
      <c r="E85" s="18"/>
      <c r="F85" s="13"/>
      <c r="G85" s="40"/>
      <c r="H85" s="6" t="str">
        <f>IF(F85="","",N85-VLOOKUP(F85,Parts!A:F,6,FALSE))</f>
        <v/>
      </c>
      <c r="I85" s="6" t="str">
        <f>IF(F85="","",IF(F85=0,"",H85-(Standards!D$14*L$5)-(Standards!D$15*K$5)))</f>
        <v/>
      </c>
      <c r="J85" s="12" t="str">
        <f>IF(F85="","",VLOOKUP(F85,Parts!A:J,10,FALSE))</f>
        <v/>
      </c>
      <c r="K85" s="12" t="str">
        <f>IF(F85="","",VLOOKUP(F85,Parts!A:N,14,FALSE))</f>
        <v/>
      </c>
      <c r="L85" s="33"/>
      <c r="M85" s="33"/>
      <c r="N85" s="8" t="str">
        <f>IF(F85="","",L$73-Q85-R85)</f>
        <v/>
      </c>
      <c r="O85" s="8">
        <f t="shared" si="7"/>
        <v>3.5000000000000003E-2</v>
      </c>
      <c r="P85" s="8" t="str">
        <f t="shared" si="9"/>
        <v/>
      </c>
      <c r="Q85" s="8">
        <f>(B85*Standards!D$15)+Q84</f>
        <v>1.0604662220650798</v>
      </c>
      <c r="R85" s="8">
        <f t="shared" si="8"/>
        <v>0.21000000000000002</v>
      </c>
      <c r="T85" s="59"/>
      <c r="U85" s="59"/>
      <c r="V85" s="59"/>
      <c r="W85" s="59"/>
      <c r="X85" s="59"/>
      <c r="Y85" s="59"/>
      <c r="Z85" s="59"/>
    </row>
    <row r="86" spans="1:26" s="8" customFormat="1" x14ac:dyDescent="0.25">
      <c r="A86" s="35">
        <v>12</v>
      </c>
      <c r="B86" s="34"/>
      <c r="C86" s="50"/>
      <c r="D86" s="52"/>
      <c r="E86" s="17"/>
      <c r="F86" s="13"/>
      <c r="G86" s="40"/>
      <c r="H86" s="6" t="str">
        <f>IF(F86="","",N86-VLOOKUP(F86,Parts!A:F,6,FALSE))</f>
        <v/>
      </c>
      <c r="I86" s="6" t="str">
        <f>IF(F86="","",IF(F86=0,"",H86-(Standards!D$14*L$5)-(Standards!D$15*K$5)))</f>
        <v/>
      </c>
      <c r="J86" s="12" t="str">
        <f>IF(F86="","",VLOOKUP(F86,Parts!A:J,10,FALSE))</f>
        <v/>
      </c>
      <c r="K86" s="12" t="str">
        <f>IF(F86="","",VLOOKUP(F86,Parts!A:N,14,FALSE))</f>
        <v/>
      </c>
      <c r="L86" s="33"/>
      <c r="M86" s="33"/>
      <c r="N86" s="8" t="str">
        <f>IF(F86="","",L$73-Q86-R86)</f>
        <v/>
      </c>
      <c r="O86" s="8">
        <f t="shared" si="7"/>
        <v>3.5000000000000003E-2</v>
      </c>
      <c r="P86" s="8" t="str">
        <f t="shared" si="9"/>
        <v/>
      </c>
      <c r="Q86" s="8">
        <f>(B86*Standards!D$15)+Q85</f>
        <v>1.0604662220650798</v>
      </c>
      <c r="R86" s="8">
        <f t="shared" si="8"/>
        <v>0.21000000000000002</v>
      </c>
      <c r="T86" s="59"/>
      <c r="U86" s="59"/>
      <c r="V86" s="59"/>
      <c r="W86" s="59"/>
      <c r="X86" s="59"/>
      <c r="Y86" s="59"/>
      <c r="Z86" s="59"/>
    </row>
    <row r="87" spans="1:26" s="8" customFormat="1" x14ac:dyDescent="0.25">
      <c r="A87" s="35">
        <v>13</v>
      </c>
      <c r="B87" s="34"/>
      <c r="C87" s="50"/>
      <c r="D87" s="53"/>
      <c r="E87" s="16"/>
      <c r="F87" s="13"/>
      <c r="G87" s="40"/>
      <c r="H87" s="6" t="str">
        <f>IF(F87="","",N87-VLOOKUP(F87,Parts!A:F,6,FALSE))</f>
        <v/>
      </c>
      <c r="I87" s="6" t="str">
        <f>IF(F87="","",IF(F87=0,"",H87-(Standards!D$14*L$5)-(Standards!D$15*K$5)))</f>
        <v/>
      </c>
      <c r="J87" s="12" t="str">
        <f>IF(F87="","",VLOOKUP(F87,Parts!A:J,10,FALSE))</f>
        <v/>
      </c>
      <c r="K87" s="12" t="str">
        <f>IF(F87="","",VLOOKUP(F87,Parts!A:N,14,FALSE))</f>
        <v/>
      </c>
      <c r="L87" s="33"/>
      <c r="M87" s="33"/>
      <c r="N87" s="8" t="str">
        <f>IF(F87="","",L$73-Q87-R87)</f>
        <v/>
      </c>
      <c r="O87" s="8">
        <f t="shared" si="7"/>
        <v>3.5000000000000003E-2</v>
      </c>
      <c r="P87" s="8" t="str">
        <f t="shared" si="9"/>
        <v/>
      </c>
      <c r="Q87" s="8">
        <f>(B87*Standards!D$15)+Q86</f>
        <v>1.0604662220650798</v>
      </c>
      <c r="R87" s="8">
        <f t="shared" si="8"/>
        <v>0.21000000000000002</v>
      </c>
      <c r="T87" s="59"/>
      <c r="U87" s="59"/>
      <c r="V87" s="59"/>
      <c r="W87" s="59"/>
      <c r="X87" s="59"/>
      <c r="Y87" s="59"/>
      <c r="Z87" s="59"/>
    </row>
    <row r="88" spans="1:26" s="8" customFormat="1" x14ac:dyDescent="0.25">
      <c r="A88" s="35">
        <v>14</v>
      </c>
      <c r="B88" s="34"/>
      <c r="C88" s="50"/>
      <c r="D88" s="53"/>
      <c r="E88" s="16"/>
      <c r="F88" s="13"/>
      <c r="G88" s="40"/>
      <c r="H88" s="6" t="str">
        <f>IF(F88="","",N88-VLOOKUP(F88,Parts!A:F,6,FALSE))</f>
        <v/>
      </c>
      <c r="I88" s="6" t="str">
        <f>IF(F88="","",IF(F88=0,"",H88-(Standards!D$14*L$5)-(Standards!D$15*K$5)))</f>
        <v/>
      </c>
      <c r="J88" s="12" t="str">
        <f>IF(F88="","",VLOOKUP(F88,Parts!A:J,10,FALSE))</f>
        <v/>
      </c>
      <c r="K88" s="12" t="str">
        <f>IF(F88="","",VLOOKUP(F88,Parts!A:N,14,FALSE))</f>
        <v/>
      </c>
      <c r="L88" s="33"/>
      <c r="M88" s="33"/>
      <c r="N88" s="8" t="str">
        <f>IF(F88="","",L$73-Q88-R88)</f>
        <v/>
      </c>
      <c r="O88" s="8">
        <f t="shared" si="7"/>
        <v>3.5000000000000003E-2</v>
      </c>
      <c r="P88" s="8" t="str">
        <f t="shared" si="9"/>
        <v/>
      </c>
      <c r="Q88" s="8">
        <f>(B88*Standards!D$15)+Q87</f>
        <v>1.0604662220650798</v>
      </c>
      <c r="R88" s="8">
        <f t="shared" si="8"/>
        <v>0.21000000000000002</v>
      </c>
      <c r="T88" s="59"/>
      <c r="U88" s="59"/>
      <c r="V88" s="59"/>
      <c r="W88" s="59"/>
      <c r="X88" s="59"/>
      <c r="Y88" s="59"/>
      <c r="Z88" s="59"/>
    </row>
    <row r="89" spans="1:26" s="8" customFormat="1" x14ac:dyDescent="0.25">
      <c r="A89" s="35">
        <v>15</v>
      </c>
      <c r="B89" s="34"/>
      <c r="C89" s="50"/>
      <c r="D89" s="53"/>
      <c r="E89" s="16"/>
      <c r="F89" s="13"/>
      <c r="G89" s="40"/>
      <c r="H89" s="6" t="str">
        <f>IF(F89="","",N89-VLOOKUP(F89,Parts!A:F,6,FALSE))</f>
        <v/>
      </c>
      <c r="I89" s="6" t="str">
        <f>IF(F89="","",IF(F89=0,"",H89-(Standards!D$14*L$5)-(Standards!D$15*K$5)))</f>
        <v/>
      </c>
      <c r="J89" s="12" t="str">
        <f>IF(F89="","",VLOOKUP(F89,Parts!A:J,10,FALSE))</f>
        <v/>
      </c>
      <c r="K89" s="12" t="str">
        <f>IF(F89="","",VLOOKUP(F89,Parts!A:N,14,FALSE))</f>
        <v/>
      </c>
      <c r="L89" s="33"/>
      <c r="M89" s="33"/>
      <c r="N89" s="8" t="str">
        <f>IF(F89="","",L$73-Q89-R89)</f>
        <v/>
      </c>
      <c r="O89" s="8">
        <f t="shared" si="7"/>
        <v>3.5000000000000003E-2</v>
      </c>
      <c r="P89" s="8" t="str">
        <f t="shared" si="9"/>
        <v/>
      </c>
      <c r="Q89" s="8">
        <f>(B89*Standards!D$15)+Q88</f>
        <v>1.0604662220650798</v>
      </c>
      <c r="R89" s="8">
        <f t="shared" si="8"/>
        <v>0.21000000000000002</v>
      </c>
      <c r="T89" s="59"/>
      <c r="U89" s="59"/>
      <c r="V89" s="59"/>
      <c r="W89" s="59"/>
      <c r="X89" s="59"/>
      <c r="Y89" s="59"/>
      <c r="Z89" s="59"/>
    </row>
    <row r="90" spans="1:26" s="8" customFormat="1" x14ac:dyDescent="0.25">
      <c r="A90" s="35">
        <v>16</v>
      </c>
      <c r="B90" s="34"/>
      <c r="C90" s="50"/>
      <c r="D90" s="53"/>
      <c r="E90" s="16"/>
      <c r="F90" s="13"/>
      <c r="G90" s="40"/>
      <c r="H90" s="6" t="str">
        <f>IF(F90="","",N90-VLOOKUP(F90,Parts!A:F,6,FALSE))</f>
        <v/>
      </c>
      <c r="I90" s="6" t="str">
        <f>IF(F90="","",IF(F90=0,"",H90-(Standards!D$14*L$5)-(Standards!D$15*K$5)))</f>
        <v/>
      </c>
      <c r="J90" s="12" t="str">
        <f>IF(F90="","",VLOOKUP(F90,Parts!A:J,10,FALSE))</f>
        <v/>
      </c>
      <c r="K90" s="12" t="str">
        <f>IF(F90="","",VLOOKUP(F90,Parts!A:N,14,FALSE))</f>
        <v/>
      </c>
      <c r="L90" s="33"/>
      <c r="M90" s="33"/>
      <c r="N90" s="8" t="str">
        <f>IF(F90="","",L$73-Q90-R90)</f>
        <v/>
      </c>
      <c r="O90" s="8">
        <f t="shared" si="7"/>
        <v>3.5000000000000003E-2</v>
      </c>
      <c r="P90" s="8" t="str">
        <f t="shared" si="9"/>
        <v/>
      </c>
      <c r="Q90" s="8">
        <f>(B90*Standards!D$15)+Q89</f>
        <v>1.0604662220650798</v>
      </c>
      <c r="R90" s="8">
        <f t="shared" si="8"/>
        <v>0.21000000000000002</v>
      </c>
      <c r="T90" s="59"/>
      <c r="U90" s="59"/>
      <c r="V90" s="59"/>
      <c r="W90" s="59"/>
      <c r="X90" s="59"/>
      <c r="Y90" s="59"/>
      <c r="Z90" s="59"/>
    </row>
    <row r="91" spans="1:26" s="8" customFormat="1" x14ac:dyDescent="0.25">
      <c r="A91" s="35">
        <v>17</v>
      </c>
      <c r="B91" s="34"/>
      <c r="C91" s="50"/>
      <c r="D91" s="53"/>
      <c r="E91" s="16"/>
      <c r="F91" s="13"/>
      <c r="G91" s="40"/>
      <c r="H91" s="6" t="str">
        <f>IF(F91="","",N91-VLOOKUP(F91,Parts!A:F,6,FALSE))</f>
        <v/>
      </c>
      <c r="I91" s="6" t="str">
        <f>IF(F91="","",IF(F91=0,"",H91-(Standards!D$14*L$5)-(Standards!D$15*K$5)))</f>
        <v/>
      </c>
      <c r="J91" s="12" t="str">
        <f>IF(F91="","",VLOOKUP(F91,Parts!A:J,10,FALSE))</f>
        <v/>
      </c>
      <c r="K91" s="12" t="str">
        <f>IF(F91="","",VLOOKUP(F91,Parts!A:N,14,FALSE))</f>
        <v/>
      </c>
      <c r="L91" s="33"/>
      <c r="M91" s="33"/>
      <c r="N91" s="8" t="str">
        <f>IF(F91="","",L$73-Q91-R91)</f>
        <v/>
      </c>
      <c r="O91" s="8">
        <f t="shared" si="7"/>
        <v>3.5000000000000003E-2</v>
      </c>
      <c r="P91" s="8" t="str">
        <f t="shared" si="9"/>
        <v/>
      </c>
      <c r="Q91" s="8">
        <f>(B91*Standards!D$15)+Q90</f>
        <v>1.0604662220650798</v>
      </c>
      <c r="R91" s="8">
        <f t="shared" si="8"/>
        <v>0.21000000000000002</v>
      </c>
      <c r="T91" s="59"/>
      <c r="U91" s="59"/>
      <c r="V91" s="59"/>
      <c r="W91" s="59"/>
      <c r="X91" s="59"/>
      <c r="Y91" s="59"/>
      <c r="Z91" s="59"/>
    </row>
    <row r="92" spans="1:26" s="8" customFormat="1" x14ac:dyDescent="0.25">
      <c r="A92" s="35">
        <v>18</v>
      </c>
      <c r="B92" s="34"/>
      <c r="C92" s="50"/>
      <c r="D92" s="53"/>
      <c r="E92" s="16"/>
      <c r="F92" s="13"/>
      <c r="G92" s="40"/>
      <c r="H92" s="6" t="str">
        <f>IF(F92="","",N92-VLOOKUP(F92,Parts!A:F,6,FALSE))</f>
        <v/>
      </c>
      <c r="I92" s="6" t="str">
        <f>IF(F92="","",IF(F92=0,"",H92-(Standards!D$14*L$5)-(Standards!D$15*K$5)))</f>
        <v/>
      </c>
      <c r="J92" s="12" t="str">
        <f>IF(F92="","",VLOOKUP(F92,Parts!A:J,10,FALSE))</f>
        <v/>
      </c>
      <c r="K92" s="12" t="str">
        <f>IF(F92="","",VLOOKUP(F92,Parts!A:N,14,FALSE))</f>
        <v/>
      </c>
      <c r="L92" s="33"/>
      <c r="M92" s="33"/>
      <c r="N92" s="8" t="str">
        <f>IF(F92="","",L$73-Q92-R92)</f>
        <v/>
      </c>
      <c r="O92" s="8">
        <f t="shared" si="7"/>
        <v>3.5000000000000003E-2</v>
      </c>
      <c r="P92" s="8" t="str">
        <f t="shared" si="9"/>
        <v/>
      </c>
      <c r="Q92" s="8">
        <f>(B92*Standards!D$15)+Q91</f>
        <v>1.0604662220650798</v>
      </c>
      <c r="R92" s="8">
        <f t="shared" si="8"/>
        <v>0.21000000000000002</v>
      </c>
      <c r="T92" s="59"/>
      <c r="U92" s="59"/>
      <c r="V92" s="59"/>
      <c r="W92" s="59"/>
      <c r="X92" s="59"/>
      <c r="Y92" s="59"/>
      <c r="Z92" s="59"/>
    </row>
    <row r="93" spans="1:26" s="8" customFormat="1" x14ac:dyDescent="0.25">
      <c r="A93" s="35">
        <v>19</v>
      </c>
      <c r="B93" s="34"/>
      <c r="C93" s="50"/>
      <c r="D93" s="53"/>
      <c r="E93" s="16"/>
      <c r="F93" s="13"/>
      <c r="G93" s="40"/>
      <c r="H93" s="6" t="str">
        <f>IF(F93="","",N93-VLOOKUP(F93,Parts!A:F,6,FALSE))</f>
        <v/>
      </c>
      <c r="I93" s="6" t="str">
        <f>IF(F93="","",IF(F93=0,"",H93-(Standards!D$14*L$5)-(Standards!D$15*K$5)))</f>
        <v/>
      </c>
      <c r="J93" s="12" t="str">
        <f>IF(F93="","",VLOOKUP(F93,Parts!A:J,10,FALSE))</f>
        <v/>
      </c>
      <c r="K93" s="12" t="str">
        <f>IF(F93="","",VLOOKUP(F93,Parts!A:N,14,FALSE))</f>
        <v/>
      </c>
      <c r="L93" s="33"/>
      <c r="M93" s="33"/>
      <c r="N93" s="8" t="str">
        <f>IF(F93="","",L$73-Q93-R93)</f>
        <v/>
      </c>
      <c r="O93" s="8">
        <f t="shared" si="7"/>
        <v>3.5000000000000003E-2</v>
      </c>
      <c r="P93" s="8" t="str">
        <f t="shared" si="9"/>
        <v/>
      </c>
      <c r="Q93" s="8">
        <f>(B93*Standards!D$15)+Q92</f>
        <v>1.0604662220650798</v>
      </c>
      <c r="R93" s="8">
        <f t="shared" si="8"/>
        <v>0.21000000000000002</v>
      </c>
      <c r="T93" s="59"/>
      <c r="U93" s="59"/>
      <c r="V93" s="59"/>
      <c r="W93" s="59"/>
      <c r="X93" s="59"/>
      <c r="Y93" s="59"/>
      <c r="Z93" s="59"/>
    </row>
    <row r="94" spans="1:26" s="8" customFormat="1" x14ac:dyDescent="0.25">
      <c r="A94" s="35">
        <v>20</v>
      </c>
      <c r="B94" s="34"/>
      <c r="C94" s="50"/>
      <c r="D94" s="53"/>
      <c r="E94" s="16"/>
      <c r="F94" s="13"/>
      <c r="G94" s="40"/>
      <c r="H94" s="6" t="str">
        <f>IF(F94="","",N94-VLOOKUP(F94,Parts!A:F,6,FALSE))</f>
        <v/>
      </c>
      <c r="I94" s="6" t="str">
        <f>IF(F94="","",IF(F94=0,"",H94-(Standards!D$14*L$5)-(Standards!D$15*K$5)))</f>
        <v/>
      </c>
      <c r="J94" s="12" t="str">
        <f>IF(F94="","",VLOOKUP(F94,Parts!A:J,10,FALSE))</f>
        <v/>
      </c>
      <c r="K94" s="12" t="str">
        <f>IF(F94="","",VLOOKUP(F94,Parts!A:N,14,FALSE))</f>
        <v/>
      </c>
      <c r="L94" s="33"/>
      <c r="M94" s="33"/>
      <c r="N94" s="8" t="str">
        <f>IF(F94="","",L$73-Q94-R94)</f>
        <v/>
      </c>
      <c r="O94" s="8">
        <f t="shared" si="7"/>
        <v>3.5000000000000003E-2</v>
      </c>
      <c r="P94" s="8" t="str">
        <f t="shared" si="9"/>
        <v/>
      </c>
      <c r="Q94" s="8">
        <f>(B94*Standards!D$15)+Q93</f>
        <v>1.0604662220650798</v>
      </c>
      <c r="R94" s="8">
        <f t="shared" si="8"/>
        <v>0.21000000000000002</v>
      </c>
      <c r="T94" s="59"/>
      <c r="U94" s="59"/>
      <c r="V94" s="59"/>
      <c r="W94" s="59"/>
      <c r="X94" s="59"/>
      <c r="Y94" s="59"/>
      <c r="Z94" s="59"/>
    </row>
    <row r="95" spans="1:26" s="8" customFormat="1" x14ac:dyDescent="0.25">
      <c r="A95" s="35">
        <v>21</v>
      </c>
      <c r="B95" s="34"/>
      <c r="C95" s="50"/>
      <c r="D95" s="53"/>
      <c r="E95" s="16"/>
      <c r="F95" s="13"/>
      <c r="G95" s="40"/>
      <c r="H95" s="6" t="str">
        <f>IF(F95="","",N95-VLOOKUP(F95,Parts!A:F,6,FALSE))</f>
        <v/>
      </c>
      <c r="I95" s="6" t="str">
        <f>IF(F95="","",IF(F95=0,"",H95-(Standards!D$14*L$5)-(Standards!D$15*K$5)))</f>
        <v/>
      </c>
      <c r="J95" s="12" t="str">
        <f>IF(F95="","",VLOOKUP(F95,Parts!A:J,10,FALSE))</f>
        <v/>
      </c>
      <c r="K95" s="12" t="str">
        <f>IF(F95="","",VLOOKUP(F95,Parts!A:N,14,FALSE))</f>
        <v/>
      </c>
      <c r="L95" s="33"/>
      <c r="M95" s="33"/>
      <c r="N95" s="8" t="str">
        <f>IF(F95="","",L$73-Q95-R95)</f>
        <v/>
      </c>
      <c r="O95" s="8">
        <f t="shared" si="7"/>
        <v>3.5000000000000003E-2</v>
      </c>
      <c r="P95" s="8" t="str">
        <f t="shared" si="9"/>
        <v/>
      </c>
      <c r="Q95" s="8">
        <f>(B95*Standards!D$15)+Q94</f>
        <v>1.0604662220650798</v>
      </c>
      <c r="R95" s="8">
        <f t="shared" si="8"/>
        <v>0.21000000000000002</v>
      </c>
      <c r="T95" s="59"/>
      <c r="U95" s="59"/>
      <c r="V95" s="59"/>
      <c r="W95" s="59"/>
      <c r="X95" s="59"/>
      <c r="Y95" s="59"/>
      <c r="Z95" s="59"/>
    </row>
    <row r="96" spans="1:26" s="8" customFormat="1" x14ac:dyDescent="0.25">
      <c r="A96" s="35">
        <v>22</v>
      </c>
      <c r="B96" s="34"/>
      <c r="C96" s="50"/>
      <c r="D96" s="53"/>
      <c r="E96" s="16"/>
      <c r="F96" s="13"/>
      <c r="G96" s="40"/>
      <c r="H96" s="6" t="str">
        <f>IF(F96="","",N96-VLOOKUP(F96,Parts!A:F,6,FALSE))</f>
        <v/>
      </c>
      <c r="I96" s="6" t="str">
        <f>IF(F96="","",IF(F96=0,"",H96-(Standards!D$14*L$5)-(Standards!D$15*K$5)))</f>
        <v/>
      </c>
      <c r="J96" s="12" t="str">
        <f>IF(F96="","",VLOOKUP(F96,Parts!A:J,10,FALSE))</f>
        <v/>
      </c>
      <c r="K96" s="12" t="str">
        <f>IF(F96="","",VLOOKUP(F96,Parts!A:N,14,FALSE))</f>
        <v/>
      </c>
      <c r="L96" s="33"/>
      <c r="M96" s="33"/>
      <c r="N96" s="8" t="str">
        <f>IF(F96="","",L$73-Q96-R96)</f>
        <v/>
      </c>
      <c r="O96" s="8">
        <f t="shared" si="7"/>
        <v>3.5000000000000003E-2</v>
      </c>
      <c r="P96" s="8" t="str">
        <f t="shared" si="9"/>
        <v/>
      </c>
      <c r="Q96" s="8">
        <f>(B96*Standards!D$15)+Q95</f>
        <v>1.0604662220650798</v>
      </c>
      <c r="R96" s="8">
        <f t="shared" si="8"/>
        <v>0.21000000000000002</v>
      </c>
      <c r="T96" s="59"/>
      <c r="U96" s="59"/>
      <c r="V96" s="59"/>
      <c r="W96" s="59"/>
      <c r="X96" s="59"/>
      <c r="Y96" s="59"/>
      <c r="Z96" s="59"/>
    </row>
    <row r="97" spans="1:26" s="8" customFormat="1" x14ac:dyDescent="0.25">
      <c r="A97" s="35">
        <v>23</v>
      </c>
      <c r="B97" s="34"/>
      <c r="C97" s="50"/>
      <c r="D97" s="53"/>
      <c r="E97" s="16"/>
      <c r="F97" s="13"/>
      <c r="G97" s="40"/>
      <c r="H97" s="6" t="str">
        <f>IF(F97="","",N97-VLOOKUP(F97,Parts!A:F,6,FALSE))</f>
        <v/>
      </c>
      <c r="I97" s="6" t="str">
        <f>IF(F97="","",IF(F97=0,"",H97-(Standards!D$14*L$5)-(Standards!D$15*K$5)))</f>
        <v/>
      </c>
      <c r="J97" s="12" t="str">
        <f>IF(F97="","",VLOOKUP(F97,Parts!A:J,10,FALSE))</f>
        <v/>
      </c>
      <c r="K97" s="12" t="str">
        <f>IF(F97="","",VLOOKUP(F97,Parts!A:N,14,FALSE))</f>
        <v/>
      </c>
      <c r="L97" s="33"/>
      <c r="M97" s="33"/>
      <c r="N97" s="8" t="str">
        <f>IF(F97="","",L$73-Q97-R97)</f>
        <v/>
      </c>
      <c r="O97" s="8">
        <f t="shared" si="7"/>
        <v>3.5000000000000003E-2</v>
      </c>
      <c r="P97" s="8" t="str">
        <f t="shared" si="9"/>
        <v/>
      </c>
      <c r="Q97" s="8">
        <f>(B97*Standards!D$15)+Q96</f>
        <v>1.0604662220650798</v>
      </c>
      <c r="R97" s="8">
        <f t="shared" si="8"/>
        <v>0.21000000000000002</v>
      </c>
      <c r="T97" s="59"/>
      <c r="U97" s="59"/>
      <c r="V97" s="59"/>
      <c r="W97" s="59"/>
      <c r="X97" s="59"/>
      <c r="Y97" s="59"/>
      <c r="Z97" s="59"/>
    </row>
    <row r="98" spans="1:26" s="8" customFormat="1" x14ac:dyDescent="0.25">
      <c r="A98" s="35">
        <v>24</v>
      </c>
      <c r="B98" s="34"/>
      <c r="C98" s="50"/>
      <c r="D98" s="53"/>
      <c r="E98" s="16"/>
      <c r="F98" s="13"/>
      <c r="G98" s="40"/>
      <c r="H98" s="6" t="str">
        <f>IF(F98="","",N98-VLOOKUP(F98,Parts!A:F,6,FALSE))</f>
        <v/>
      </c>
      <c r="I98" s="6" t="str">
        <f>IF(F98="","",IF(F98=0,"",H98-(Standards!D$14*L$5)-(Standards!D$15*K$5)))</f>
        <v/>
      </c>
      <c r="J98" s="12" t="str">
        <f>IF(F98="","",VLOOKUP(F98,Parts!A:J,10,FALSE))</f>
        <v/>
      </c>
      <c r="K98" s="12" t="str">
        <f>IF(F98="","",VLOOKUP(F98,Parts!A:N,14,FALSE))</f>
        <v/>
      </c>
      <c r="L98" s="33"/>
      <c r="M98" s="33"/>
      <c r="N98" s="8" t="str">
        <f>IF(F98="","",L$73-Q98-R98)</f>
        <v/>
      </c>
      <c r="O98" s="8">
        <f t="shared" si="7"/>
        <v>3.5000000000000003E-2</v>
      </c>
      <c r="P98" s="8" t="str">
        <f t="shared" si="9"/>
        <v/>
      </c>
      <c r="Q98" s="8">
        <f>(B98*Standards!D$15)+Q97</f>
        <v>1.0604662220650798</v>
      </c>
      <c r="R98" s="8">
        <f t="shared" si="8"/>
        <v>0.21000000000000002</v>
      </c>
      <c r="T98" s="59"/>
      <c r="U98" s="59"/>
      <c r="V98" s="59"/>
      <c r="W98" s="59"/>
      <c r="X98" s="59"/>
      <c r="Y98" s="59"/>
      <c r="Z98" s="59"/>
    </row>
    <row r="99" spans="1:26" s="8" customFormat="1" x14ac:dyDescent="0.25">
      <c r="A99" s="35">
        <v>25</v>
      </c>
      <c r="B99" s="34"/>
      <c r="C99" s="50"/>
      <c r="D99" s="53"/>
      <c r="E99" s="16"/>
      <c r="F99" s="13"/>
      <c r="G99" s="40"/>
      <c r="H99" s="6" t="str">
        <f>IF(F99="","",N99-VLOOKUP(F99,Parts!A:F,6,FALSE))</f>
        <v/>
      </c>
      <c r="I99" s="6" t="str">
        <f>IF(F99="","",IF(F99=0,"",H99-(Standards!D$14*L$5)-(Standards!D$15*K$5)))</f>
        <v/>
      </c>
      <c r="J99" s="12" t="str">
        <f>IF(F99="","",VLOOKUP(F99,Parts!A:J,10,FALSE))</f>
        <v/>
      </c>
      <c r="K99" s="12" t="str">
        <f>IF(F99="","",VLOOKUP(F99,Parts!A:N,14,FALSE))</f>
        <v/>
      </c>
      <c r="L99" s="33"/>
      <c r="M99" s="33"/>
      <c r="N99" s="8" t="str">
        <f>IF(F99="","",L$73-Q99-R99)</f>
        <v/>
      </c>
      <c r="O99" s="8">
        <f t="shared" si="7"/>
        <v>3.5000000000000003E-2</v>
      </c>
      <c r="P99" s="8" t="str">
        <f t="shared" si="9"/>
        <v/>
      </c>
      <c r="Q99" s="8">
        <f>(B99*Standards!D$15)+Q98</f>
        <v>1.0604662220650798</v>
      </c>
      <c r="R99" s="8">
        <f t="shared" si="8"/>
        <v>0.21000000000000002</v>
      </c>
      <c r="T99" s="59"/>
      <c r="U99" s="59"/>
      <c r="V99" s="59"/>
      <c r="W99" s="59"/>
      <c r="X99" s="59"/>
      <c r="Y99" s="59"/>
      <c r="Z99" s="59"/>
    </row>
    <row r="100" spans="1:26" s="8" customFormat="1" x14ac:dyDescent="0.25">
      <c r="A100" s="35">
        <v>26</v>
      </c>
      <c r="B100" s="34"/>
      <c r="C100" s="50"/>
      <c r="D100" s="53"/>
      <c r="E100" s="16"/>
      <c r="F100" s="13"/>
      <c r="G100" s="40"/>
      <c r="H100" s="6" t="str">
        <f>IF(F100="","",N100-VLOOKUP(F100,Parts!A:F,6,FALSE))</f>
        <v/>
      </c>
      <c r="I100" s="6" t="str">
        <f>IF(F100="","",IF(F100=0,"",H100-(Standards!D$14*L$5)-(Standards!D$15*K$5)))</f>
        <v/>
      </c>
      <c r="J100" s="12" t="str">
        <f>IF(F100="","",VLOOKUP(F100,Parts!A:J,10,FALSE))</f>
        <v/>
      </c>
      <c r="K100" s="12" t="str">
        <f>IF(F100="","",VLOOKUP(F100,Parts!A:N,14,FALSE))</f>
        <v/>
      </c>
      <c r="L100" s="33"/>
      <c r="M100" s="33"/>
      <c r="N100" s="8" t="str">
        <f>IF(F100="","",L$73-Q100-R100)</f>
        <v/>
      </c>
      <c r="O100" s="8">
        <f t="shared" si="7"/>
        <v>3.5000000000000003E-2</v>
      </c>
      <c r="P100" s="8" t="str">
        <f t="shared" si="9"/>
        <v/>
      </c>
      <c r="Q100" s="8">
        <f>(B100*Standards!D$15)+Q99</f>
        <v>1.0604662220650798</v>
      </c>
      <c r="R100" s="8">
        <f t="shared" si="8"/>
        <v>0.21000000000000002</v>
      </c>
      <c r="T100" s="59"/>
      <c r="U100" s="59"/>
      <c r="V100" s="59"/>
      <c r="W100" s="59"/>
      <c r="X100" s="59"/>
      <c r="Y100" s="59"/>
      <c r="Z100" s="59"/>
    </row>
  </sheetData>
  <sheetProtection algorithmName="SHA-512" hashValue="sFxPz+uDBUZsVyFfsY6yeW0pOGCgvDHpmigM85hANdwjZpt2B0ibLXCAjoZTkZt2e3gsGfvA2liFMFlUUEf9EQ==" saltValue="FTpD7EN2H9M6hTw6hPS2ng==" spinCount="100000" sheet="1" objects="1" scenarios="1" selectLockedCells="1"/>
  <mergeCells count="8">
    <mergeCell ref="K3:K4"/>
    <mergeCell ref="L3:L4"/>
    <mergeCell ref="A1:C1"/>
    <mergeCell ref="B2:D2"/>
    <mergeCell ref="A3:A4"/>
    <mergeCell ref="B3:G4"/>
    <mergeCell ref="H3:H4"/>
    <mergeCell ref="I3:I4"/>
  </mergeCells>
  <conditionalFormatting sqref="H8:H39">
    <cfRule type="containsBlanks" dxfId="12" priority="12">
      <formula>LEN(TRIM(H8))=0</formula>
    </cfRule>
  </conditionalFormatting>
  <conditionalFormatting sqref="I8:I39">
    <cfRule type="containsBlanks" dxfId="11" priority="10">
      <formula>LEN(TRIM(I8))=0</formula>
    </cfRule>
  </conditionalFormatting>
  <conditionalFormatting sqref="B6">
    <cfRule type="cellIs" dxfId="10" priority="9" operator="greaterThan">
      <formula>65000</formula>
    </cfRule>
  </conditionalFormatting>
  <conditionalFormatting sqref="H43:H71">
    <cfRule type="containsBlanks" dxfId="7" priority="7">
      <formula>LEN(TRIM(H43))=0</formula>
    </cfRule>
  </conditionalFormatting>
  <conditionalFormatting sqref="I43:I71">
    <cfRule type="containsBlanks" dxfId="6" priority="5">
      <formula>LEN(TRIM(I43))=0</formula>
    </cfRule>
  </conditionalFormatting>
  <conditionalFormatting sqref="H75:H100">
    <cfRule type="containsBlanks" dxfId="3" priority="3">
      <formula>LEN(TRIM(H75))=0</formula>
    </cfRule>
  </conditionalFormatting>
  <conditionalFormatting sqref="I75:I100">
    <cfRule type="containsBlanks" dxfId="2" priority="1">
      <formula>LEN(TRIM(I75))=0</formula>
    </cfRule>
  </conditionalFormatting>
  <dataValidations count="8">
    <dataValidation allowBlank="1" showInputMessage="1" showErrorMessage="1" errorTitle="Suspicious Value" error="Please enter span values in kilofeet!" sqref="B8:D39 B43:D71 B75:D100" xr:uid="{2BF2B9B9-CE43-491B-B836-F97B73743D58}"/>
    <dataValidation type="list" allowBlank="1" showInputMessage="1" showErrorMessage="1" sqref="G8:G39 G43:G71 G75:G100" xr:uid="{5460881F-895B-4B89-AB2D-BDE1169BF42C}">
      <formula1>"No,Yes"</formula1>
    </dataValidation>
    <dataValidation type="list" allowBlank="1" showInputMessage="1" showErrorMessage="1" sqref="E2" xr:uid="{4B13102E-C1E7-41BC-BD97-0468CB277AC5}">
      <formula1>OLT</formula1>
    </dataValidation>
    <dataValidation type="list" allowBlank="1" showInputMessage="1" showErrorMessage="1" sqref="H5" xr:uid="{37147213-8194-4831-BA70-57D92C697A0D}">
      <formula1>"Direct,Spliced,APC,MPO,MPT,UPC"</formula1>
    </dataValidation>
    <dataValidation type="list" allowBlank="1" showInputMessage="1" showErrorMessage="1" sqref="G8:G39 G43:G71 G75:G100" xr:uid="{C4B211A5-6D72-4B69-BCC1-AF7F84A57A7D}">
      <formula1>"Y,N"</formula1>
    </dataValidation>
    <dataValidation type="list" allowBlank="1" showInputMessage="1" showErrorMessage="1" sqref="J5" xr:uid="{EF5FBC47-0413-493F-A45D-7434F7E72B33}">
      <formula1>"Average,Maximum"</formula1>
    </dataValidation>
    <dataValidation type="list" allowBlank="1" showInputMessage="1" showErrorMessage="1" sqref="J2" xr:uid="{52BC9F15-C762-496F-93F6-5A0920D27229}">
      <formula1>"1x4,1x8,1x16,1x32"</formula1>
    </dataValidation>
    <dataValidation type="list" allowBlank="1" showInputMessage="1" showErrorMessage="1" sqref="F8:F39 F43:F71 F75:F100" xr:uid="{899B6A6D-4BC2-4B15-AAD9-8A07B7AB4064}">
      <formula1>Splits</formula1>
    </dataValidation>
  </dataValidations>
  <hyperlinks>
    <hyperlink ref="G11" location="'Splitter 4'!B43" display="Branch 1" xr:uid="{FD10732F-2DB6-427E-98C4-00A73449BDF8}"/>
    <hyperlink ref="C41" location="'Splitter 4'!G11" display="^ Back to Source ^" xr:uid="{472B6061-8176-4A69-8298-F18E0535232F}"/>
    <hyperlink ref="G12" location="'Splitter 4'!B75" display="Branch 2" xr:uid="{F088BB3B-0C8E-4D17-98BB-711D06E87E33}"/>
    <hyperlink ref="C73" location="'Splitter 4'!G12" display="^ Back to Source ^" xr:uid="{CDA4F1F0-8501-4C3C-AB29-78308CAD69B5}"/>
  </hyperlinks>
  <pageMargins left="0.25" right="0.25" top="0.75" bottom="0.75" header="0.3" footer="0.3"/>
  <pageSetup scale="43" orientation="portrait" r:id="rId1"/>
  <headerFooter>
    <oddFooter>&amp;L&amp;1#&amp;"Calibri"&amp;8&amp;K000000Sensitivity: Internal</oddFooter>
  </headerFooter>
  <drawing r:id="rId2"/>
  <legacyDrawing r:id="rId3"/>
  <controls>
    <mc:AlternateContent xmlns:mc="http://schemas.openxmlformats.org/markup-compatibility/2006">
      <mc:Choice Requires="x14">
        <control shapeId="54274" r:id="rId4" name="CommandButton3">
          <controlPr locked="0" defaultSize="0" autoLine="0" r:id="rId5">
            <anchor moveWithCells="1">
              <from>
                <xdr:col>3</xdr:col>
                <xdr:colOff>66675</xdr:colOff>
                <xdr:row>4</xdr:row>
                <xdr:rowOff>28575</xdr:rowOff>
              </from>
              <to>
                <xdr:col>4</xdr:col>
                <xdr:colOff>266700</xdr:colOff>
                <xdr:row>5</xdr:row>
                <xdr:rowOff>180975</xdr:rowOff>
              </to>
            </anchor>
          </controlPr>
        </control>
      </mc:Choice>
      <mc:Fallback>
        <control shapeId="54274" r:id="rId4" name="CommandButton3"/>
      </mc:Fallback>
    </mc:AlternateContent>
    <mc:AlternateContent xmlns:mc="http://schemas.openxmlformats.org/markup-compatibility/2006">
      <mc:Choice Requires="x14">
        <control shapeId="54273" r:id="rId6" name="CommandButton1">
          <controlPr locked="0" defaultSize="0" autoLine="0" r:id="rId7">
            <anchor moveWithCells="1">
              <from>
                <xdr:col>4</xdr:col>
                <xdr:colOff>295275</xdr:colOff>
                <xdr:row>4</xdr:row>
                <xdr:rowOff>28575</xdr:rowOff>
              </from>
              <to>
                <xdr:col>5</xdr:col>
                <xdr:colOff>552450</xdr:colOff>
                <xdr:row>5</xdr:row>
                <xdr:rowOff>180975</xdr:rowOff>
              </to>
            </anchor>
          </controlPr>
        </control>
      </mc:Choice>
      <mc:Fallback>
        <control shapeId="54273" r:id="rId6"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cellIs" priority="13" operator="lessThan" id="{7C1FC0E1-FC58-45A1-933D-7E3F125F4F85}">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H8:H39</xm:sqref>
        </x14:conditionalFormatting>
        <x14:conditionalFormatting xmlns:xm="http://schemas.microsoft.com/office/excel/2006/main">
          <x14:cfRule type="cellIs" priority="11" operator="notBetween" id="{BDB70205-B409-484F-9B85-D3241E59E174}">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I8:I39</xm:sqref>
        </x14:conditionalFormatting>
        <x14:conditionalFormatting xmlns:xm="http://schemas.microsoft.com/office/excel/2006/main">
          <x14:cfRule type="cellIs" priority="8" operator="lessThan" id="{A12AC600-0263-4726-A75F-8C96ABB5141B}">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H43:H71</xm:sqref>
        </x14:conditionalFormatting>
        <x14:conditionalFormatting xmlns:xm="http://schemas.microsoft.com/office/excel/2006/main">
          <x14:cfRule type="cellIs" priority="6" operator="notBetween" id="{1450130D-3F3A-4551-A1AB-F284C2539832}">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I43:I71</xm:sqref>
        </x14:conditionalFormatting>
        <x14:conditionalFormatting xmlns:xm="http://schemas.microsoft.com/office/excel/2006/main">
          <x14:cfRule type="cellIs" priority="4" operator="lessThan" id="{D2B65992-ABD9-4106-8134-1334AC2FDD66}">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H75:H100</xm:sqref>
        </x14:conditionalFormatting>
        <x14:conditionalFormatting xmlns:xm="http://schemas.microsoft.com/office/excel/2006/main">
          <x14:cfRule type="cellIs" priority="2" operator="notBetween" id="{00B1B565-854E-4184-92BD-28BE65377C13}">
            <xm:f>-6</xm:f>
            <xm:f>Standards!$C$10+$K$2</xm:f>
            <x14:dxf>
              <font>
                <b/>
                <i val="0"/>
                <color rgb="FFFF0000"/>
              </font>
              <border>
                <left style="thin">
                  <color rgb="FFFF0000"/>
                </left>
                <right style="thin">
                  <color rgb="FFFF0000"/>
                </right>
                <top style="thin">
                  <color rgb="FFFF0000"/>
                </top>
                <bottom style="thin">
                  <color rgb="FFFF0000"/>
                </bottom>
                <vertical/>
                <horizontal/>
              </border>
            </x14:dxf>
          </x14:cfRule>
          <xm:sqref>I75:I100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2BE3656-7CBE-49EF-91AF-57A1E37D8F3F}">
          <x14:formula1>
            <xm:f>Standards!$B$46:$B$52</xm:f>
          </x14:formula1>
          <xm:sqref>E9:E39 E44:E71 E76:E100</xm:sqref>
        </x14:dataValidation>
        <x14:dataValidation type="list" allowBlank="1" showInputMessage="1" showErrorMessage="1" xr:uid="{600229DD-67E6-4C6E-BC75-E3DD90F54F9E}">
          <x14:formula1>
            <xm:f>Standards!$B$46:$B$53</xm:f>
          </x14:formula1>
          <xm:sqref>E8 E43 E75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DFE65-CE76-4644-9797-62B6A4C36C1A}">
  <sheetPr>
    <pageSetUpPr fitToPage="1"/>
  </sheetPr>
  <dimension ref="A1:G1"/>
  <sheetViews>
    <sheetView showGridLines="0" zoomScale="85" zoomScaleNormal="85" workbookViewId="0">
      <selection activeCell="L25" sqref="L25:M25"/>
    </sheetView>
  </sheetViews>
  <sheetFormatPr defaultRowHeight="15" customHeight="1" x14ac:dyDescent="0.25"/>
  <sheetData>
    <row r="1" spans="1:7" s="10" customFormat="1" ht="30" customHeight="1" x14ac:dyDescent="0.3">
      <c r="A1" s="10" t="s">
        <v>135</v>
      </c>
      <c r="B1" s="10" t="s">
        <v>167</v>
      </c>
      <c r="F1" s="10" t="s">
        <v>199</v>
      </c>
      <c r="G1" s="10">
        <v>28</v>
      </c>
    </row>
  </sheetData>
  <pageMargins left="0.25" right="0.25" top="0.75" bottom="0.75" header="0.3" footer="0.3"/>
  <pageSetup scale="69" orientation="portrait" r:id="rId1"/>
  <headerFooter>
    <oddFooter>&amp;L&amp;1#&amp;"Calibri"&amp;8&amp;K000000Sensitivity: 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Comment xmlns="830f47dc-733b-4d6c-b823-fb6dce1e7a72" xsi:nil="true"/>
    <Inthisfolder xmlns="830f47dc-733b-4d6c-b823-fb6dce1e7a72" xsi:nil="true"/>
    <TaxCatchAll xmlns="582d5462-3b80-4014-9402-e7d306fb2501" xsi:nil="true"/>
    <lcf76f155ced4ddcb4097134ff3c332f xmlns="830f47dc-733b-4d6c-b823-fb6dce1e7a72">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B43C020A565F94EA882CD888ED4D5DD" ma:contentTypeVersion="18" ma:contentTypeDescription="Create a new document." ma:contentTypeScope="" ma:versionID="871895f5e6e6a9f17791c8bf9b3c2e1e">
  <xsd:schema xmlns:xsd="http://www.w3.org/2001/XMLSchema" xmlns:xs="http://www.w3.org/2001/XMLSchema" xmlns:p="http://schemas.microsoft.com/office/2006/metadata/properties" xmlns:ns2="830f47dc-733b-4d6c-b823-fb6dce1e7a72" xmlns:ns3="582d5462-3b80-4014-9402-e7d306fb2501" targetNamespace="http://schemas.microsoft.com/office/2006/metadata/properties" ma:root="true" ma:fieldsID="4ed1ae352847268f6e43016cf6a764d0" ns2:_="" ns3:_="">
    <xsd:import namespace="830f47dc-733b-4d6c-b823-fb6dce1e7a72"/>
    <xsd:import namespace="582d5462-3b80-4014-9402-e7d306fb250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Comment" minOccurs="0"/>
                <xsd:element ref="ns3:SharedWithUsers" minOccurs="0"/>
                <xsd:element ref="ns3:SharedWithDetails" minOccurs="0"/>
                <xsd:element ref="ns2:MediaServiceDateTaken" minOccurs="0"/>
                <xsd:element ref="ns2:Inthisfolder"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0f47dc-733b-4d6c-b823-fb6dce1e7a7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Comment" ma:index="12" nillable="true" ma:displayName="Comment" ma:description="1)Master Miror Address List                                                                    2)P10 Master Address                                                                                3)P20 Master Address                                                                                4)P40 Master Address                                                                                5)P50 Master Address                                                                                6)P51 Master Address                                                                                      7)P52 Master Address                                                                                8)P60 Master Address                                                                                 9)P70 Master Address                                                                              10)P80 Master Address" ma:format="Dropdown" ma:internalName="Comment">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Inthisfolder" ma:index="16" nillable="true" ma:displayName="In this folder" ma:description="1)Master Miror Address List                                                                    2)P10 Master Address                                                                                3)P20 Master Address                                                                                4)P40 Master Address                                                                                5)P50 Master Address                                                                                6)P51 Master Address                                                                                      7)P52 Master Address                                                                                8)P60 Master Address                                                                                 9)P70 Master Address                                                                              10)P80 Master Address" ma:format="Dropdown" ma:internalName="Inthisfolder">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337b09c-b77c-45cc-b071-a201a32329d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EventHashCode" ma:index="23" nillable="true" ma:displayName="MediaServiceEventHashCode" ma:hidden="true" ma:internalName="MediaServiceEventHashCode"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82d5462-3b80-4014-9402-e7d306fb2501"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5f5c4b17-4981-4c82-90fa-a67d1f8dab0e}" ma:internalName="TaxCatchAll" ma:showField="CatchAllData" ma:web="582d5462-3b80-4014-9402-e7d306fb250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C087CEC-641A-4CE0-BD38-69DD93F1FF84}">
  <ds:schemaRefs>
    <ds:schemaRef ds:uri="830f47dc-733b-4d6c-b823-fb6dce1e7a72"/>
    <ds:schemaRef ds:uri="http://purl.org/dc/dcmitype/"/>
    <ds:schemaRef ds:uri="http://schemas.openxmlformats.org/package/2006/metadata/core-properties"/>
    <ds:schemaRef ds:uri="http://purl.org/dc/terms/"/>
    <ds:schemaRef ds:uri="http://schemas.microsoft.com/office/2006/documentManagement/types"/>
    <ds:schemaRef ds:uri="http://www.w3.org/XML/1998/namespace"/>
    <ds:schemaRef ds:uri="http://schemas.microsoft.com/office/infopath/2007/PartnerControls"/>
    <ds:schemaRef ds:uri="582d5462-3b80-4014-9402-e7d306fb2501"/>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E7525B86-2412-42A4-A5D7-6D0F53F878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0f47dc-733b-4d6c-b823-fb6dce1e7a72"/>
    <ds:schemaRef ds:uri="582d5462-3b80-4014-9402-e7d306fb25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5808AA-55FA-4A30-BC25-2DB158951E8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vt:i4>
      </vt:variant>
    </vt:vector>
  </HeadingPairs>
  <TitlesOfParts>
    <vt:vector size="17" baseType="lpstr">
      <vt:lpstr>Instructions</vt:lpstr>
      <vt:lpstr>Standards</vt:lpstr>
      <vt:lpstr>Parts</vt:lpstr>
      <vt:lpstr>Splitter 1</vt:lpstr>
      <vt:lpstr>SP1_Schematic</vt:lpstr>
      <vt:lpstr>BlankCopy</vt:lpstr>
      <vt:lpstr>Splitter 2</vt:lpstr>
      <vt:lpstr>SP2_Schematic</vt:lpstr>
      <vt:lpstr>Splitter 3</vt:lpstr>
      <vt:lpstr>SP3_Schematic</vt:lpstr>
      <vt:lpstr>Splitter 4</vt:lpstr>
      <vt:lpstr>SP4_Schematic</vt:lpstr>
      <vt:lpstr>Losses</vt:lpstr>
      <vt:lpstr>LS_Loss</vt:lpstr>
      <vt:lpstr>OLT</vt:lpstr>
      <vt:lpstr>Splits</vt:lpstr>
      <vt:lpstr>Units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Thies, James F</dc:creator>
  <cp:keywords/>
  <dc:description/>
  <cp:lastModifiedBy>Fawzy Nessem</cp:lastModifiedBy>
  <cp:revision/>
  <cp:lastPrinted>2025-10-09T19:28:13Z</cp:lastPrinted>
  <dcterms:created xsi:type="dcterms:W3CDTF">2019-02-01T19:20:57Z</dcterms:created>
  <dcterms:modified xsi:type="dcterms:W3CDTF">2025-10-09T19:28:35Z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0720e8-2283-4502-917f-4c0aee493a24_Enabled">
    <vt:lpwstr>true</vt:lpwstr>
  </property>
  <property fmtid="{D5CDD505-2E9C-101B-9397-08002B2CF9AE}" pid="3" name="MSIP_Label_5a0720e8-2283-4502-917f-4c0aee493a24_SetDate">
    <vt:lpwstr>2022-12-01T22:23:49Z</vt:lpwstr>
  </property>
  <property fmtid="{D5CDD505-2E9C-101B-9397-08002B2CF9AE}" pid="4" name="MSIP_Label_5a0720e8-2283-4502-917f-4c0aee493a24_Method">
    <vt:lpwstr>Standard</vt:lpwstr>
  </property>
  <property fmtid="{D5CDD505-2E9C-101B-9397-08002B2CF9AE}" pid="5" name="MSIP_Label_5a0720e8-2283-4502-917f-4c0aee493a24_Name">
    <vt:lpwstr>5a0720e8-2283-4502-917f-4c0aee493a24</vt:lpwstr>
  </property>
  <property fmtid="{D5CDD505-2E9C-101B-9397-08002B2CF9AE}" pid="6" name="MSIP_Label_5a0720e8-2283-4502-917f-4c0aee493a24_SiteId">
    <vt:lpwstr>2567b4c1-b0ed-40f5-aee3-58d7c5f3e2b2</vt:lpwstr>
  </property>
  <property fmtid="{D5CDD505-2E9C-101B-9397-08002B2CF9AE}" pid="7" name="MSIP_Label_5a0720e8-2283-4502-917f-4c0aee493a24_ActionId">
    <vt:lpwstr>05419ed8-8956-4066-b4c3-7d2853677bb0</vt:lpwstr>
  </property>
  <property fmtid="{D5CDD505-2E9C-101B-9397-08002B2CF9AE}" pid="8" name="MSIP_Label_5a0720e8-2283-4502-917f-4c0aee493a24_ContentBits">
    <vt:lpwstr>2</vt:lpwstr>
  </property>
  <property fmtid="{D5CDD505-2E9C-101B-9397-08002B2CF9AE}" pid="9" name="ContentTypeId">
    <vt:lpwstr>0x0101003B43C020A565F94EA882CD888ED4D5DD</vt:lpwstr>
  </property>
</Properties>
</file>
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coding\PG Files\tools\test plan\"/>
    </mc:Choice>
  </mc:AlternateContent>
  <xr:revisionPtr revIDLastSave="0" documentId="13_ncr:1_{25CAF6D0-B4D4-4B3A-9640-5EF0AAA1598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I19" i="1" l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18" i="1"/>
  <c r="I2" i="1"/>
  <c r="I3" i="1"/>
  <c r="I4" i="1"/>
  <c r="I6" i="1"/>
  <c r="I7" i="1"/>
  <c r="I8" i="1"/>
  <c r="I9" i="1"/>
  <c r="I10" i="1"/>
  <c r="I11" i="1"/>
  <c r="I12" i="1"/>
  <c r="I13" i="1"/>
  <c r="I14" i="1"/>
  <c r="I15" i="1"/>
  <c r="I16" i="1"/>
  <c r="I17" i="1"/>
  <c r="I51" i="1" l="1"/>
  <c r="I52" i="1"/>
  <c r="I53" i="1"/>
  <c r="I54" i="1"/>
  <c r="I55" i="1"/>
  <c r="I50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34" i="1"/>
  <c r="I5" i="1"/>
  <c r="M53" i="1"/>
  <c r="M47" i="1"/>
  <c r="M31" i="1"/>
  <c r="M15" i="1"/>
  <c r="M54" i="1"/>
  <c r="M48" i="1"/>
  <c r="M32" i="1"/>
  <c r="M16" i="1"/>
  <c r="M49" i="1"/>
  <c r="M55" i="1"/>
  <c r="M33" i="1"/>
  <c r="M17" i="1"/>
  <c r="G2" i="1"/>
  <c r="F3" i="1" l="1"/>
  <c r="G3" i="1" s="1"/>
  <c r="F4" i="1" l="1"/>
  <c r="G4" i="1" s="1"/>
  <c r="F5" i="1" s="1"/>
  <c r="G5" i="1" l="1"/>
  <c r="F6" i="1" s="1"/>
  <c r="G6" i="1" s="1"/>
  <c r="F7" i="1" s="1"/>
  <c r="G7" i="1" s="1"/>
  <c r="F8" i="1" s="1"/>
  <c r="G8" i="1" s="1"/>
  <c r="F9" i="1" s="1"/>
  <c r="G9" i="1" s="1"/>
  <c r="F10" i="1" s="1"/>
  <c r="G10" i="1" s="1"/>
  <c r="F11" i="1" s="1"/>
  <c r="G11" i="1" s="1"/>
  <c r="F12" i="1" s="1"/>
  <c r="G12" i="1" s="1"/>
  <c r="F13" i="1" s="1"/>
  <c r="G13" i="1" s="1"/>
  <c r="F14" i="1" s="1"/>
  <c r="G14" i="1" s="1"/>
  <c r="F15" i="1" s="1"/>
  <c r="G15" i="1" s="1"/>
  <c r="F16" i="1" l="1"/>
  <c r="G16" i="1" l="1"/>
  <c r="F17" i="1" s="1"/>
  <c r="G17" i="1" l="1"/>
  <c r="G18" i="1" l="1"/>
  <c r="F19" i="1" s="1"/>
  <c r="G19" i="1" l="1"/>
  <c r="F20" i="1" s="1"/>
  <c r="G20" i="1" l="1"/>
  <c r="F21" i="1" s="1"/>
  <c r="G21" i="1" l="1"/>
  <c r="F22" i="1" s="1"/>
  <c r="G22" i="1" l="1"/>
  <c r="F23" i="1" s="1"/>
  <c r="G23" i="1" l="1"/>
  <c r="F24" i="1" s="1"/>
  <c r="G24" i="1" l="1"/>
  <c r="F25" i="1" s="1"/>
  <c r="G25" i="1" l="1"/>
  <c r="F26" i="1" s="1"/>
  <c r="G26" i="1" l="1"/>
  <c r="F27" i="1" s="1"/>
  <c r="G27" i="1" l="1"/>
  <c r="F28" i="1" s="1"/>
  <c r="G28" i="1" l="1"/>
  <c r="F29" i="1" s="1"/>
  <c r="G29" i="1" l="1"/>
  <c r="F30" i="1" s="1"/>
  <c r="G30" i="1" l="1"/>
  <c r="F31" i="1" s="1"/>
  <c r="G31" i="1" l="1"/>
  <c r="F32" i="1" s="1"/>
  <c r="G32" i="1" l="1"/>
  <c r="F33" i="1" s="1"/>
  <c r="G33" i="1" l="1"/>
  <c r="G34" i="1" l="1"/>
  <c r="F35" i="1" s="1"/>
  <c r="G35" i="1" l="1"/>
  <c r="F36" i="1" s="1"/>
  <c r="G36" i="1" l="1"/>
  <c r="F37" i="1" s="1"/>
  <c r="G37" i="1" l="1"/>
  <c r="F38" i="1" s="1"/>
  <c r="G38" i="1" l="1"/>
  <c r="F39" i="1" s="1"/>
  <c r="G39" i="1" l="1"/>
  <c r="F40" i="1" s="1"/>
  <c r="G40" i="1" l="1"/>
  <c r="F41" i="1" s="1"/>
  <c r="G41" i="1" l="1"/>
  <c r="F42" i="1" s="1"/>
  <c r="G42" i="1" l="1"/>
  <c r="F43" i="1" s="1"/>
  <c r="G43" i="1" l="1"/>
  <c r="F44" i="1" s="1"/>
  <c r="G44" i="1" l="1"/>
  <c r="F45" i="1" s="1"/>
  <c r="G45" i="1" l="1"/>
  <c r="F46" i="1" s="1"/>
  <c r="G46" i="1" l="1"/>
  <c r="F47" i="1" s="1"/>
  <c r="G47" i="1" l="1"/>
  <c r="F48" i="1" s="1"/>
  <c r="G48" i="1" l="1"/>
  <c r="F49" i="1" s="1"/>
  <c r="G49" i="1" l="1"/>
  <c r="G50" i="1" l="1"/>
  <c r="F51" i="1" s="1"/>
  <c r="G51" i="1" l="1"/>
  <c r="F52" i="1" s="1"/>
  <c r="G52" i="1" l="1"/>
  <c r="F53" i="1" s="1"/>
  <c r="G53" i="1" l="1"/>
  <c r="F54" i="1" s="1"/>
  <c r="G54" i="1" l="1"/>
  <c r="F55" i="1" s="1"/>
  <c r="G55" i="1" l="1"/>
</calcChain>
</file>

<file path=xl/sharedStrings.xml><?xml version="1.0" encoding="utf-8"?>
<sst xmlns="http://schemas.openxmlformats.org/spreadsheetml/2006/main" count="133" uniqueCount="110">
  <si>
    <t>LEAD</t>
  </si>
  <si>
    <t xml:space="preserve">TERMINAL </t>
  </si>
  <si>
    <t>FIBER</t>
  </si>
  <si>
    <t>PORTS</t>
  </si>
  <si>
    <t xml:space="preserve">HH </t>
  </si>
  <si>
    <t xml:space="preserve">ZF FROM </t>
  </si>
  <si>
    <t xml:space="preserve">ZF TO </t>
  </si>
  <si>
    <t>ZF</t>
  </si>
  <si>
    <t>SPLTTER</t>
  </si>
  <si>
    <t>SPARE</t>
  </si>
  <si>
    <t>A1</t>
  </si>
  <si>
    <t>A2</t>
  </si>
  <si>
    <t>@125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</si>
  <si>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</si>
  <si>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</si>
  <si>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</si>
  <si>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</si>
  <si>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</si>
  <si>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</si>
  <si>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</si>
  <si>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</si>
  <si>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</si>
  <si>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</si>
  <si>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</si>
  <si>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</si>
  <si>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</si>
  <si>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</si>
  <si>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@139</t>
  </si>
  <si>
    <t>@146</t>
  </si>
  <si>
    <t>@155</t>
  </si>
  <si>
    <t>@160</t>
  </si>
  <si>
    <t>@003</t>
  </si>
  <si>
    <t>@509</t>
  </si>
  <si>
    <t>@014</t>
  </si>
  <si>
    <t>@005</t>
  </si>
  <si>
    <t>@004</t>
  </si>
  <si>
    <t>@185</t>
  </si>
  <si>
    <t>@205</t>
  </si>
  <si>
    <t>@001</t>
  </si>
  <si>
    <t>@007</t>
  </si>
  <si>
    <t>@512</t>
  </si>
  <si>
    <t>@011</t>
  </si>
  <si>
    <t>@006</t>
  </si>
  <si>
    <t>@008</t>
  </si>
  <si>
    <t>@312</t>
  </si>
  <si>
    <t>@013</t>
  </si>
  <si>
    <t>@015</t>
  </si>
  <si>
    <t>@017</t>
  </si>
  <si>
    <t>@019</t>
  </si>
  <si>
    <t>@002</t>
  </si>
  <si>
    <t>@020</t>
  </si>
  <si>
    <t>@021</t>
  </si>
  <si>
    <t>@027</t>
  </si>
  <si>
    <t>@129</t>
  </si>
  <si>
    <t>@131</t>
  </si>
  <si>
    <t>@135</t>
  </si>
  <si>
    <t>@142</t>
  </si>
  <si>
    <t>@504</t>
  </si>
  <si>
    <t>@511</t>
  </si>
  <si>
    <t>37-38</t>
  </si>
  <si>
    <t>@164</t>
  </si>
  <si>
    <t>@168</t>
  </si>
  <si>
    <t>@674</t>
  </si>
  <si>
    <t>@161</t>
  </si>
  <si>
    <t>13-18</t>
  </si>
  <si>
    <t>@208</t>
  </si>
  <si>
    <t>1-7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</si>
  <si>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</si>
  <si>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</si>
  <si>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</si>
  <si>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</si>
  <si>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</si>
  <si>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</si>
  <si>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</si>
  <si>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</si>
  <si>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</si>
  <si>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</si>
  <si>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</si>
  <si>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</si>
  <si>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</si>
  <si>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</si>
  <si>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</si>
  <si>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</si>
  <si>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2A1</t>
  </si>
  <si>
    <t>2A2</t>
  </si>
  <si>
    <t>2A3</t>
  </si>
  <si>
    <t>2A4</t>
  </si>
  <si>
    <t>2A5</t>
  </si>
  <si>
    <t>2A6</t>
  </si>
  <si>
    <t>2A7</t>
  </si>
  <si>
    <t>2A8</t>
  </si>
  <si>
    <t>2A9</t>
  </si>
  <si>
    <t>2A10</t>
  </si>
  <si>
    <t>2A11</t>
  </si>
  <si>
    <t>2A12</t>
  </si>
  <si>
    <t>2A13</t>
  </si>
  <si>
    <t>2A14</t>
  </si>
  <si>
    <t>2A15</t>
  </si>
  <si>
    <t>2A16</t>
  </si>
  <si>
    <t>2B1</t>
  </si>
  <si>
    <t>2B2</t>
  </si>
  <si>
    <t>2B3</t>
  </si>
  <si>
    <t>2B4</t>
  </si>
  <si>
    <t>2B5</t>
  </si>
  <si>
    <t>2B6</t>
  </si>
  <si>
    <t>@211</t>
  </si>
  <si>
    <t>HH</t>
  </si>
  <si>
    <t>1X8</t>
  </si>
  <si>
    <t>1X4</t>
  </si>
  <si>
    <t>@010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</si>
</sst>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9">
    <xf numFmtId="0" fontId="0" fillId="0" borderId="0" xfId="0"/>
    <xf numFmtId="49" fontId="0" fillId="0" borderId="0" xfId="0" applyNumberFormat="1"/>
    <xf numFmtId="0" fontId="5" fillId="2" borderId="0" xfId="0" applyFont="1" applyFill="1"/>
    <xf numFmtId="49" fontId="5" fillId="2" borderId="0" xfId="0" applyNumberFormat="1" applyFont="1" applyFill="1"/>
    <xf numFmtId="0" fontId="3" fillId="0" borderId="0" xfId="0" quotePrefix="1" applyFont="1"/>
    <xf numFmtId="0" fontId="0" fillId="0" borderId="1" xfId="0" applyBorder="1"/>
    <xf numFmtId="0" fontId="0" fillId="3" borderId="2" xfId="0" applyFill="1" applyBorder="1"/>
    <xf numFmtId="0" fontId="3" fillId="3" borderId="2" xfId="0" quotePrefix="1" applyFont="1" applyFill="1" applyBorder="1"/>
    <xf numFmtId="0" fontId="0" fillId="4" borderId="2" xfId="0" applyFill="1" applyBorder="1"/>
    <xf numFmtId="0" fontId="3" fillId="4" borderId="2" xfId="0" quotePrefix="1" applyFont="1" applyFill="1" applyBorder="1"/>
    <xf numFmtId="0" fontId="0" fillId="5" borderId="2" xfId="0" applyFill="1" applyBorder="1"/>
    <xf numFmtId="0" fontId="3" fillId="5" borderId="2" xfId="0" quotePrefix="1" applyFont="1" applyFill="1" applyBorder="1"/>
    <xf numFmtId="0" fontId="0" fillId="6" borderId="2" xfId="0" applyFill="1" applyBorder="1"/>
    <xf numFmtId="0" fontId="3" fillId="6" borderId="2" xfId="0" quotePrefix="1" applyFont="1" applyFill="1" applyBorder="1"/>
    <xf numFmtId="0" fontId="0" fillId="6" borderId="3" xfId="0" applyFill="1" applyBorder="1"/>
    <xf numFmtId="0" fontId="3" fillId="6" borderId="4" xfId="0" quotePrefix="1" applyFont="1" applyFill="1" applyBorder="1"/>
    <xf numFmtId="0" fontId="0" fillId="6" borderId="4" xfId="0" applyFill="1" applyBorder="1"/>
    <xf numFmtId="0" fontId="0" fillId="6" borderId="5" xfId="0" applyFill="1" applyBorder="1" applyAlignment="1">
      <alignment horizontal="center" vertical="center"/>
    </xf>
    <xf numFmtId="0" fontId="0" fillId="6" borderId="6" xfId="0" applyFill="1" applyBorder="1"/>
    <xf numFmtId="0" fontId="0" fillId="6" borderId="7" xfId="0" applyFill="1" applyBorder="1" applyAlignment="1">
      <alignment horizontal="center" vertical="center"/>
    </xf>
    <xf numFmtId="0" fontId="0" fillId="6" borderId="8" xfId="0" applyFill="1" applyBorder="1"/>
    <xf numFmtId="0" fontId="0" fillId="6" borderId="9" xfId="0" applyFill="1" applyBorder="1"/>
    <xf numFmtId="16" fontId="0" fillId="6" borderId="10" xfId="1" quotePrefix="1" applyNumberFormat="1" applyFont="1" applyFill="1" applyBorder="1" applyAlignment="1">
      <alignment horizontal="center" vertical="center"/>
    </xf>
    <xf numFmtId="0" fontId="0" fillId="5" borderId="3" xfId="0" applyFill="1" applyBorder="1"/>
    <xf numFmtId="0" fontId="3" fillId="5" borderId="4" xfId="0" quotePrefix="1" applyFont="1" applyFill="1" applyBorder="1"/>
    <xf numFmtId="0" fontId="0" fillId="5" borderId="4" xfId="0" applyFill="1" applyBorder="1"/>
    <xf numFmtId="0" fontId="0" fillId="5" borderId="5" xfId="0" applyFill="1" applyBorder="1" applyAlignment="1">
      <alignment horizontal="center" vertical="center"/>
    </xf>
    <xf numFmtId="0" fontId="0" fillId="5" borderId="6" xfId="0" applyFill="1" applyBorder="1"/>
    <xf numFmtId="0" fontId="0" fillId="5" borderId="7" xfId="0" applyFill="1" applyBorder="1" applyAlignment="1">
      <alignment horizontal="center" vertical="center"/>
    </xf>
    <xf numFmtId="0" fontId="0" fillId="5" borderId="8" xfId="0" applyFill="1" applyBorder="1"/>
    <xf numFmtId="0" fontId="3" fillId="5" borderId="9" xfId="0" quotePrefix="1" applyFont="1" applyFill="1" applyBorder="1"/>
    <xf numFmtId="0" fontId="0" fillId="5" borderId="9" xfId="0" applyFill="1" applyBorder="1"/>
    <xf numFmtId="0" fontId="0" fillId="5" borderId="10" xfId="0" applyFill="1" applyBorder="1" applyAlignment="1">
      <alignment horizontal="center" vertical="center"/>
    </xf>
    <xf numFmtId="0" fontId="0" fillId="4" borderId="3" xfId="0" applyFill="1" applyBorder="1"/>
    <xf numFmtId="0" fontId="3" fillId="4" borderId="4" xfId="0" quotePrefix="1" applyFont="1" applyFill="1" applyBorder="1"/>
    <xf numFmtId="0" fontId="0" fillId="4" borderId="4" xfId="0" applyFill="1" applyBorder="1"/>
    <xf numFmtId="0" fontId="0" fillId="4" borderId="5" xfId="0" applyFill="1" applyBorder="1" applyAlignment="1">
      <alignment horizontal="center"/>
    </xf>
    <xf numFmtId="0" fontId="0" fillId="4" borderId="6" xfId="0" applyFill="1" applyBorder="1"/>
    <xf numFmtId="0" fontId="0" fillId="4" borderId="7" xfId="0" applyFill="1" applyBorder="1" applyAlignment="1">
      <alignment horizontal="center" vertical="center"/>
    </xf>
    <xf numFmtId="0" fontId="0" fillId="4" borderId="8" xfId="0" applyFill="1" applyBorder="1"/>
    <xf numFmtId="0" fontId="3" fillId="4" borderId="9" xfId="0" quotePrefix="1" applyFont="1" applyFill="1" applyBorder="1"/>
    <xf numFmtId="0" fontId="0" fillId="4" borderId="9" xfId="0" applyFill="1" applyBorder="1"/>
    <xf numFmtId="0" fontId="0" fillId="4" borderId="10" xfId="0" applyFill="1" applyBorder="1" applyAlignment="1">
      <alignment horizontal="center" vertical="center"/>
    </xf>
    <xf numFmtId="0" fontId="0" fillId="3" borderId="3" xfId="0" applyFill="1" applyBorder="1"/>
    <xf numFmtId="0" fontId="4" fillId="3" borderId="4" xfId="0" quotePrefix="1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3" fillId="3" borderId="9" xfId="0" quotePrefix="1" applyFont="1" applyFill="1" applyBorder="1"/>
    <xf numFmtId="0" fontId="0" fillId="3" borderId="9" xfId="0" applyFill="1" applyBorder="1"/>
    <xf numFmtId="0" fontId="0" fillId="3" borderId="10" xfId="0" applyFill="1" applyBorder="1"/>
    <xf numFmtId="0" fontId="2" fillId="6" borderId="9" xfId="0" quotePrefix="1" applyFont="1" applyFill="1" applyBorder="1"/>
    <xf numFmtId="0" fontId="0" fillId="0" borderId="0" xfId="0" applyAlignment="1">
      <alignment horizontal="right"/>
    </xf>
    <xf numFmtId="0" fontId="1" fillId="3" borderId="2" xfId="0" quotePrefix="1" applyFont="1" applyFill="1" applyBorder="1"/>
    <xf numFmtId="0" fontId="0" fillId="4" borderId="4" xfId="0" applyFill="1" applyBorder="1" applyAlignment="1">
      <alignment horizontal="left"/>
    </xf>
    <xf numFmtId="0" fontId="0" fillId="4" borderId="2" xfId="0" applyFill="1" applyBorder="1" applyAlignment="1">
      <alignment horizontal="left"/>
    </xf>
    <xf numFmtId="0" fontId="0" fillId="4" borderId="9" xfId="0" applyFill="1" applyBorder="1" applyAlignment="1">
      <alignment horizontal="left"/>
    </xf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3"/>
  <sheetViews>
    <sheetView tabSelected="1" topLeftCell="A16" workbookViewId="0">
      <selection activeCell="H38" sqref="H38"/>
    </sheetView>
  </sheetViews>
  <sheetFormatPr defaultColWidth="9" defaultRowHeight="14.4"/>
  <cols>
    <col min="1" max="1" width="8.5546875" customWidth="1"/>
    <col min="2" max="2" width="17" customWidth="1"/>
    <col min="4" max="4" width="10.44140625" customWidth="1"/>
    <col min="5" max="5" width="6.33203125" customWidth="1"/>
    <col min="6" max="6" width="14.6640625" customWidth="1"/>
    <col min="7" max="7" width="13.88671875" customWidth="1"/>
    <col min="8" max="8" width="11.33203125" customWidth="1"/>
    <col min="9" max="9" width="13.88671875" bestFit="1" customWidth="1"/>
    <col min="10" max="10" width="13" customWidth="1"/>
    <col min="11" max="11" width="10.109375" style="1" customWidth="1"/>
    <col min="12" max="12" width="9" style="54"/>
  </cols>
  <sheetData>
    <row r="1" spans="1:13" ht="24" thickBo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 t="s">
        <v>7</v>
      </c>
      <c r="J1" s="2" t="s">
        <v>8</v>
      </c>
      <c r="K1" s="3" t="s">
        <v>9</v>
      </c>
    </row>
    <row r="2" spans="1:13">
      <c r="A2" s="43">
        <v>1097</v>
      </c>
      <c r="B2" s="44" t="s">
        <v>12</v>
      </c>
      <c r="C2" s="45">
        <v>72</v>
      </c>
      <c r="D2" s="45">
        <v>4</v>
      </c>
      <c r="E2" s="45">
        <v>2</v>
      </c>
      <c r="F2" s="45">
        <v>1</v>
      </c>
      <c r="G2" s="45">
        <f>F2+D2-1</f>
        <v>4</v>
      </c>
      <c r="H2" s="45"/>
      <c r="I2" s="45" t="str">
        <f>"ZF314,"&amp;F2&amp;"-"&amp;G2</f>
        <v>ZF314,1-4</v>
      </c>
      <c r="J2" s="45" t="s">
        <v>10</v>
      </c>
      <c r="K2" s="46"/>
    </row>
    <row r="3" spans="1:13">
      <c r="A3" s="47">
        <v>1203</v>
      </c>
      <c r="B3" s="7" t="s">
        <v>38</v>
      </c>
      <c r="C3" s="6">
        <v>71</v>
      </c>
      <c r="D3" s="6">
        <v>8</v>
      </c>
      <c r="E3" s="6">
        <v>5</v>
      </c>
      <c r="F3" s="6">
        <f>G2+1</f>
        <v>5</v>
      </c>
      <c r="G3" s="6">
        <f>F3+D3-1</f>
        <v>12</v>
      </c>
      <c r="H3" s="6"/>
      <c r="I3" s="6" t="str">
        <f t="shared" ref="I3:I17" si="0">"ZF314,"&amp;F3&amp;"-"&amp;G3</f>
        <v>ZF314,5-12</v>
      </c>
      <c r="J3" s="6" t="s">
        <v>11</v>
      </c>
      <c r="K3" s="48"/>
    </row>
    <row r="4" spans="1:13">
      <c r="A4" s="47">
        <v>1203</v>
      </c>
      <c r="B4" s="7" t="s">
        <v>35</v>
      </c>
      <c r="C4" s="6">
        <v>70</v>
      </c>
      <c r="D4" s="6">
        <v>8</v>
      </c>
      <c r="E4" s="6">
        <v>6</v>
      </c>
      <c r="F4" s="6">
        <f t="shared" ref="F4:F5" si="1">G3+1</f>
        <v>13</v>
      </c>
      <c r="G4" s="6">
        <f t="shared" ref="G4:G5" si="2">F4+D4-1</f>
        <v>20</v>
      </c>
      <c r="H4" s="6"/>
      <c r="I4" s="6" t="str">
        <f t="shared" si="0"/>
        <v>ZF314,13-20</v>
      </c>
      <c r="J4" s="6" t="s">
        <v>13</v>
      </c>
      <c r="K4" s="48"/>
    </row>
    <row r="5" spans="1:13">
      <c r="A5" s="47">
        <v>1203</v>
      </c>
      <c r="B5" s="7" t="s">
        <v>42</v>
      </c>
      <c r="C5" s="6">
        <v>69</v>
      </c>
      <c r="D5" s="6">
        <v>4</v>
      </c>
      <c r="E5" s="6">
        <v>3</v>
      </c>
      <c r="F5" s="6">
        <f t="shared" si="1"/>
        <v>21</v>
      </c>
      <c r="G5" s="6">
        <f t="shared" si="2"/>
        <v>24</v>
      </c>
      <c r="H5" s="6"/>
      <c r="I5" s="6" t="str">
        <f t="shared" si="0"/>
        <v>ZF314,21-24</v>
      </c>
      <c r="J5" s="6" t="s">
        <v>14</v>
      </c>
      <c r="K5" s="48"/>
    </row>
    <row r="6" spans="1:13">
      <c r="A6" s="47">
        <v>1603</v>
      </c>
      <c r="B6" s="7" t="s">
        <v>31</v>
      </c>
      <c r="C6" s="6">
        <v>68</v>
      </c>
      <c r="D6" s="6">
        <v>4</v>
      </c>
      <c r="E6" s="6">
        <v>2</v>
      </c>
      <c r="F6" s="6">
        <f t="shared" ref="F6:F55" si="3">G5+1</f>
        <v>25</v>
      </c>
      <c r="G6" s="6">
        <f t="shared" ref="G6:G55" si="4">F6+D6-1</f>
        <v>28</v>
      </c>
      <c r="H6" s="6"/>
      <c r="I6" s="6" t="str">
        <f t="shared" si="0"/>
        <v>ZF314,25-28</v>
      </c>
      <c r="J6" s="6" t="s">
        <v>15</v>
      </c>
      <c r="K6" s="48"/>
    </row>
    <row r="7" spans="1:13">
      <c r="A7" s="47">
        <v>1203</v>
      </c>
      <c r="B7" s="7" t="s">
        <v>43</v>
      </c>
      <c r="C7" s="6">
        <v>67</v>
      </c>
      <c r="D7" s="6">
        <v>4</v>
      </c>
      <c r="E7" s="6">
        <v>3</v>
      </c>
      <c r="F7" s="6">
        <f t="shared" si="3"/>
        <v>29</v>
      </c>
      <c r="G7" s="6">
        <f t="shared" si="4"/>
        <v>32</v>
      </c>
      <c r="H7" s="6"/>
      <c r="I7" s="6" t="str">
        <f t="shared" si="0"/>
        <v>ZF314,29-32</v>
      </c>
      <c r="J7" s="6" t="s">
        <v>16</v>
      </c>
      <c r="K7" s="48"/>
    </row>
    <row r="8" spans="1:13">
      <c r="A8" s="47">
        <v>1203</v>
      </c>
      <c r="B8" s="55" t="s">
        <v>109</v>
      </c>
      <c r="C8" s="6">
        <v>66</v>
      </c>
      <c r="D8" s="6">
        <v>4</v>
      </c>
      <c r="E8" s="6">
        <v>4</v>
      </c>
      <c r="F8" s="6">
        <f t="shared" si="3"/>
        <v>33</v>
      </c>
      <c r="G8" s="6">
        <f t="shared" si="4"/>
        <v>36</v>
      </c>
      <c r="H8" s="6"/>
      <c r="I8" s="6" t="str">
        <f t="shared" si="0"/>
        <v>ZF314,33-36</v>
      </c>
      <c r="J8" s="6" t="s">
        <v>17</v>
      </c>
      <c r="K8" s="48"/>
    </row>
    <row r="9" spans="1:13">
      <c r="A9" s="47">
        <v>1203</v>
      </c>
      <c r="B9" s="7" t="s">
        <v>44</v>
      </c>
      <c r="C9" s="6">
        <v>65</v>
      </c>
      <c r="D9" s="6">
        <v>8</v>
      </c>
      <c r="E9" s="6">
        <v>7</v>
      </c>
      <c r="F9" s="6">
        <f t="shared" si="3"/>
        <v>37</v>
      </c>
      <c r="G9" s="6">
        <f t="shared" si="4"/>
        <v>44</v>
      </c>
      <c r="H9" s="6"/>
      <c r="I9" s="6" t="str">
        <f t="shared" si="0"/>
        <v>ZF314,37-44</v>
      </c>
      <c r="J9" s="6" t="s">
        <v>18</v>
      </c>
      <c r="K9" s="48"/>
    </row>
    <row r="10" spans="1:13">
      <c r="A10" s="47">
        <v>1203</v>
      </c>
      <c r="B10" s="7" t="s">
        <v>45</v>
      </c>
      <c r="C10" s="6">
        <v>64</v>
      </c>
      <c r="D10" s="6">
        <v>8</v>
      </c>
      <c r="E10" s="6">
        <v>5</v>
      </c>
      <c r="F10" s="6">
        <f t="shared" si="3"/>
        <v>45</v>
      </c>
      <c r="G10" s="6">
        <f t="shared" si="4"/>
        <v>52</v>
      </c>
      <c r="H10" s="6"/>
      <c r="I10" s="6" t="str">
        <f t="shared" si="0"/>
        <v>ZF314,45-52</v>
      </c>
      <c r="J10" s="6" t="s">
        <v>19</v>
      </c>
      <c r="K10" s="48"/>
    </row>
    <row r="11" spans="1:13" ht="14.25" customHeight="1">
      <c r="A11" s="47">
        <v>1203</v>
      </c>
      <c r="B11" s="7" t="s">
        <v>46</v>
      </c>
      <c r="C11" s="6">
        <v>63</v>
      </c>
      <c r="D11" s="6">
        <v>4</v>
      </c>
      <c r="E11" s="6">
        <v>4</v>
      </c>
      <c r="F11" s="6">
        <f t="shared" si="3"/>
        <v>53</v>
      </c>
      <c r="G11" s="6">
        <f t="shared" si="4"/>
        <v>56</v>
      </c>
      <c r="H11" s="6"/>
      <c r="I11" s="6" t="str">
        <f t="shared" si="0"/>
        <v>ZF314,53-56</v>
      </c>
      <c r="J11" s="6" t="s">
        <v>20</v>
      </c>
      <c r="K11" s="48"/>
    </row>
    <row r="12" spans="1:13">
      <c r="A12" s="47">
        <v>1203</v>
      </c>
      <c r="B12" s="7" t="s">
        <v>47</v>
      </c>
      <c r="C12" s="6">
        <v>62</v>
      </c>
      <c r="D12" s="6">
        <v>8</v>
      </c>
      <c r="E12" s="6">
        <v>5</v>
      </c>
      <c r="F12" s="6">
        <f t="shared" si="3"/>
        <v>57</v>
      </c>
      <c r="G12" s="6">
        <f t="shared" si="4"/>
        <v>64</v>
      </c>
      <c r="H12" s="6"/>
      <c r="I12" s="6" t="str">
        <f t="shared" si="0"/>
        <v>ZF314,57-64</v>
      </c>
      <c r="J12" s="6" t="s">
        <v>21</v>
      </c>
      <c r="K12" s="48"/>
    </row>
    <row r="13" spans="1:13">
      <c r="A13" s="47">
        <v>1203</v>
      </c>
      <c r="B13" s="7" t="s">
        <v>48</v>
      </c>
      <c r="C13" s="6">
        <v>61</v>
      </c>
      <c r="D13" s="6">
        <v>4</v>
      </c>
      <c r="E13" s="6">
        <v>2</v>
      </c>
      <c r="F13" s="6">
        <f t="shared" si="3"/>
        <v>65</v>
      </c>
      <c r="G13" s="6">
        <f t="shared" si="4"/>
        <v>68</v>
      </c>
      <c r="H13" s="6"/>
      <c r="I13" s="6" t="str">
        <f t="shared" si="0"/>
        <v>ZF314,65-68</v>
      </c>
      <c r="J13" s="6" t="s">
        <v>22</v>
      </c>
      <c r="K13" s="48"/>
    </row>
    <row r="14" spans="1:13">
      <c r="A14" s="47">
        <v>1413</v>
      </c>
      <c r="B14" s="7" t="s">
        <v>49</v>
      </c>
      <c r="C14" s="6">
        <v>60</v>
      </c>
      <c r="D14" s="6">
        <v>8</v>
      </c>
      <c r="E14" s="6">
        <v>5</v>
      </c>
      <c r="F14" s="6">
        <f t="shared" si="3"/>
        <v>69</v>
      </c>
      <c r="G14" s="6">
        <f t="shared" si="4"/>
        <v>76</v>
      </c>
      <c r="H14" s="6"/>
      <c r="I14" s="6" t="str">
        <f t="shared" si="0"/>
        <v>ZF314,69-76</v>
      </c>
      <c r="J14" s="6" t="s">
        <v>23</v>
      </c>
      <c r="K14" s="48"/>
    </row>
    <row r="15" spans="1:13">
      <c r="A15" s="47">
        <v>1272</v>
      </c>
      <c r="B15" s="7" t="s">
        <v>31</v>
      </c>
      <c r="C15" s="6">
        <v>59</v>
      </c>
      <c r="D15" s="6">
        <v>4</v>
      </c>
      <c r="E15" s="6">
        <v>2</v>
      </c>
      <c r="F15" s="6">
        <f t="shared" si="3"/>
        <v>77</v>
      </c>
      <c r="G15" s="6">
        <f t="shared" si="4"/>
        <v>80</v>
      </c>
      <c r="H15" s="6"/>
      <c r="I15" s="6" t="str">
        <f t="shared" si="0"/>
        <v>ZF314,77-80</v>
      </c>
      <c r="J15" s="6" t="s">
        <v>24</v>
      </c>
      <c r="K15" s="48"/>
      <c r="L15" s="54" t="s">
        <v>108</v>
      </c>
      <c r="M15">
        <f>COUNTIF(D2:D17,"=4")</f>
        <v>10</v>
      </c>
    </row>
    <row r="16" spans="1:13">
      <c r="A16" s="47">
        <v>1272</v>
      </c>
      <c r="B16" s="7" t="s">
        <v>34</v>
      </c>
      <c r="C16" s="6">
        <v>58</v>
      </c>
      <c r="D16" s="6">
        <v>4</v>
      </c>
      <c r="E16" s="6">
        <v>2</v>
      </c>
      <c r="F16" s="6">
        <f t="shared" si="3"/>
        <v>81</v>
      </c>
      <c r="G16" s="6">
        <f t="shared" si="4"/>
        <v>84</v>
      </c>
      <c r="H16" s="6"/>
      <c r="I16" s="6" t="str">
        <f t="shared" si="0"/>
        <v>ZF314,81-84</v>
      </c>
      <c r="J16" s="6" t="s">
        <v>25</v>
      </c>
      <c r="K16" s="48"/>
      <c r="L16" s="54" t="s">
        <v>107</v>
      </c>
      <c r="M16">
        <f>COUNTIF(D2:D17,"=8")</f>
        <v>6</v>
      </c>
    </row>
    <row r="17" spans="1:13" ht="15" thickBot="1">
      <c r="A17" s="49">
        <v>1481</v>
      </c>
      <c r="B17" s="50" t="s">
        <v>31</v>
      </c>
      <c r="C17" s="51">
        <v>57</v>
      </c>
      <c r="D17" s="51">
        <v>4</v>
      </c>
      <c r="E17" s="51">
        <v>1</v>
      </c>
      <c r="F17" s="51">
        <f t="shared" si="3"/>
        <v>85</v>
      </c>
      <c r="G17" s="51">
        <f t="shared" si="4"/>
        <v>88</v>
      </c>
      <c r="H17" s="51"/>
      <c r="I17" s="51" t="str">
        <f t="shared" si="0"/>
        <v>ZF314,85-88</v>
      </c>
      <c r="J17" s="51" t="s">
        <v>26</v>
      </c>
      <c r="K17" s="52"/>
      <c r="L17" s="54" t="s">
        <v>106</v>
      </c>
      <c r="M17">
        <f>SUM(E2:E17)</f>
        <v>58</v>
      </c>
    </row>
    <row r="18" spans="1:13">
      <c r="A18" s="33">
        <v>1496</v>
      </c>
      <c r="B18" s="34" t="s">
        <v>38</v>
      </c>
      <c r="C18" s="35">
        <v>56</v>
      </c>
      <c r="D18" s="35">
        <v>4</v>
      </c>
      <c r="E18" s="35">
        <v>3</v>
      </c>
      <c r="F18" s="35">
        <v>1</v>
      </c>
      <c r="G18" s="35">
        <f t="shared" si="4"/>
        <v>4</v>
      </c>
      <c r="H18" s="56"/>
      <c r="I18" s="56" t="str">
        <f>"ZF315,"&amp;F18&amp;"-"&amp;G18</f>
        <v>ZF315,1-4</v>
      </c>
      <c r="J18" s="35" t="s">
        <v>67</v>
      </c>
      <c r="K18" s="36">
        <v>55</v>
      </c>
    </row>
    <row r="19" spans="1:13">
      <c r="A19" s="37">
        <v>1203</v>
      </c>
      <c r="B19" s="9" t="s">
        <v>50</v>
      </c>
      <c r="C19" s="8">
        <v>54</v>
      </c>
      <c r="D19" s="8">
        <v>4</v>
      </c>
      <c r="E19" s="8">
        <v>3</v>
      </c>
      <c r="F19" s="8">
        <f t="shared" si="3"/>
        <v>5</v>
      </c>
      <c r="G19" s="8">
        <f t="shared" si="4"/>
        <v>8</v>
      </c>
      <c r="H19" s="57"/>
      <c r="I19" s="57" t="str">
        <f t="shared" ref="I19:I33" si="5">"ZF315,"&amp;F19&amp;"-"&amp;G19</f>
        <v>ZF315,5-8</v>
      </c>
      <c r="J19" s="8" t="s">
        <v>68</v>
      </c>
      <c r="K19" s="38"/>
    </row>
    <row r="20" spans="1:13">
      <c r="A20" s="37">
        <v>1203</v>
      </c>
      <c r="B20" s="9" t="s">
        <v>51</v>
      </c>
      <c r="C20" s="8">
        <v>53</v>
      </c>
      <c r="D20" s="8">
        <v>8</v>
      </c>
      <c r="E20" s="8">
        <v>5</v>
      </c>
      <c r="F20" s="8">
        <f t="shared" si="3"/>
        <v>9</v>
      </c>
      <c r="G20" s="8">
        <f t="shared" si="4"/>
        <v>16</v>
      </c>
      <c r="H20" s="57"/>
      <c r="I20" s="57" t="str">
        <f t="shared" si="5"/>
        <v>ZF315,9-16</v>
      </c>
      <c r="J20" s="8" t="s">
        <v>69</v>
      </c>
      <c r="K20" s="38"/>
    </row>
    <row r="21" spans="1:13">
      <c r="A21" s="37">
        <v>1312</v>
      </c>
      <c r="B21" s="9" t="s">
        <v>49</v>
      </c>
      <c r="C21" s="8">
        <v>52</v>
      </c>
      <c r="D21" s="8">
        <v>4</v>
      </c>
      <c r="E21" s="8">
        <v>4</v>
      </c>
      <c r="F21" s="8">
        <f t="shared" si="3"/>
        <v>17</v>
      </c>
      <c r="G21" s="8">
        <f t="shared" si="4"/>
        <v>20</v>
      </c>
      <c r="H21" s="57"/>
      <c r="I21" s="57" t="str">
        <f t="shared" si="5"/>
        <v>ZF315,17-20</v>
      </c>
      <c r="J21" s="8" t="s">
        <v>70</v>
      </c>
      <c r="K21" s="38"/>
    </row>
    <row r="22" spans="1:13">
      <c r="A22" s="37">
        <v>1203</v>
      </c>
      <c r="B22" s="9" t="s">
        <v>52</v>
      </c>
      <c r="C22" s="8">
        <v>51</v>
      </c>
      <c r="D22" s="8">
        <v>4</v>
      </c>
      <c r="E22" s="8">
        <v>2</v>
      </c>
      <c r="F22" s="8">
        <f t="shared" si="3"/>
        <v>21</v>
      </c>
      <c r="G22" s="8">
        <f t="shared" si="4"/>
        <v>24</v>
      </c>
      <c r="H22" s="57"/>
      <c r="I22" s="57" t="str">
        <f t="shared" si="5"/>
        <v>ZF315,21-24</v>
      </c>
      <c r="J22" s="8" t="s">
        <v>71</v>
      </c>
      <c r="K22" s="38"/>
    </row>
    <row r="23" spans="1:13">
      <c r="A23" s="37">
        <v>1548</v>
      </c>
      <c r="B23" s="9" t="s">
        <v>31</v>
      </c>
      <c r="C23" s="8">
        <v>50</v>
      </c>
      <c r="D23" s="8">
        <v>4</v>
      </c>
      <c r="E23" s="8">
        <v>4</v>
      </c>
      <c r="F23" s="8">
        <f t="shared" si="3"/>
        <v>25</v>
      </c>
      <c r="G23" s="8">
        <f t="shared" si="4"/>
        <v>28</v>
      </c>
      <c r="H23" s="57"/>
      <c r="I23" s="57" t="str">
        <f t="shared" si="5"/>
        <v>ZF315,25-28</v>
      </c>
      <c r="J23" s="8" t="s">
        <v>72</v>
      </c>
      <c r="K23" s="38">
        <v>49</v>
      </c>
    </row>
    <row r="24" spans="1:13">
      <c r="A24" s="37">
        <v>1097</v>
      </c>
      <c r="B24" s="9" t="s">
        <v>53</v>
      </c>
      <c r="C24" s="8">
        <v>48</v>
      </c>
      <c r="D24" s="8">
        <v>4</v>
      </c>
      <c r="E24" s="8">
        <v>2</v>
      </c>
      <c r="F24" s="8">
        <f t="shared" si="3"/>
        <v>29</v>
      </c>
      <c r="G24" s="8">
        <f t="shared" si="4"/>
        <v>32</v>
      </c>
      <c r="H24" s="57"/>
      <c r="I24" s="57" t="str">
        <f t="shared" si="5"/>
        <v>ZF315,29-32</v>
      </c>
      <c r="J24" s="8" t="s">
        <v>73</v>
      </c>
      <c r="K24" s="38"/>
    </row>
    <row r="25" spans="1:13">
      <c r="A25" s="37">
        <v>1097</v>
      </c>
      <c r="B25" s="9" t="s">
        <v>54</v>
      </c>
      <c r="C25" s="8">
        <v>47</v>
      </c>
      <c r="D25" s="8">
        <v>8</v>
      </c>
      <c r="E25" s="8">
        <v>5</v>
      </c>
      <c r="F25" s="8">
        <f t="shared" si="3"/>
        <v>33</v>
      </c>
      <c r="G25" s="8">
        <f t="shared" si="4"/>
        <v>40</v>
      </c>
      <c r="H25" s="57"/>
      <c r="I25" s="57" t="str">
        <f t="shared" si="5"/>
        <v>ZF315,33-40</v>
      </c>
      <c r="J25" s="8" t="s">
        <v>74</v>
      </c>
      <c r="K25" s="38"/>
    </row>
    <row r="26" spans="1:13">
      <c r="A26" s="37">
        <v>1097</v>
      </c>
      <c r="B26" s="9" t="s">
        <v>55</v>
      </c>
      <c r="C26" s="8">
        <v>46</v>
      </c>
      <c r="D26" s="8">
        <v>8</v>
      </c>
      <c r="E26" s="8">
        <v>5</v>
      </c>
      <c r="F26" s="8">
        <f t="shared" si="3"/>
        <v>41</v>
      </c>
      <c r="G26" s="8">
        <f t="shared" si="4"/>
        <v>48</v>
      </c>
      <c r="H26" s="57"/>
      <c r="I26" s="57" t="str">
        <f t="shared" si="5"/>
        <v>ZF315,41-48</v>
      </c>
      <c r="J26" s="8" t="s">
        <v>75</v>
      </c>
      <c r="K26" s="38"/>
    </row>
    <row r="27" spans="1:13">
      <c r="A27" s="37">
        <v>1097</v>
      </c>
      <c r="B27" s="9" t="s">
        <v>27</v>
      </c>
      <c r="C27" s="8">
        <v>45</v>
      </c>
      <c r="D27" s="8">
        <v>4</v>
      </c>
      <c r="E27" s="8">
        <v>4</v>
      </c>
      <c r="F27" s="8">
        <f t="shared" si="3"/>
        <v>49</v>
      </c>
      <c r="G27" s="8">
        <f t="shared" si="4"/>
        <v>52</v>
      </c>
      <c r="H27" s="57"/>
      <c r="I27" s="57" t="str">
        <f t="shared" si="5"/>
        <v>ZF315,49-52</v>
      </c>
      <c r="J27" s="8" t="s">
        <v>76</v>
      </c>
      <c r="K27" s="38"/>
    </row>
    <row r="28" spans="1:13">
      <c r="A28" s="37">
        <v>1097</v>
      </c>
      <c r="B28" s="9" t="s">
        <v>56</v>
      </c>
      <c r="C28" s="8">
        <v>44</v>
      </c>
      <c r="D28" s="8">
        <v>4</v>
      </c>
      <c r="E28" s="8">
        <v>3</v>
      </c>
      <c r="F28" s="8">
        <f t="shared" si="3"/>
        <v>53</v>
      </c>
      <c r="G28" s="8">
        <f t="shared" si="4"/>
        <v>56</v>
      </c>
      <c r="H28" s="57"/>
      <c r="I28" s="57" t="str">
        <f t="shared" si="5"/>
        <v>ZF315,53-56</v>
      </c>
      <c r="J28" s="8" t="s">
        <v>77</v>
      </c>
      <c r="K28" s="38"/>
    </row>
    <row r="29" spans="1:13">
      <c r="A29" s="37">
        <v>1097</v>
      </c>
      <c r="B29" s="9" t="s">
        <v>28</v>
      </c>
      <c r="C29" s="8">
        <v>43</v>
      </c>
      <c r="D29" s="8">
        <v>4</v>
      </c>
      <c r="E29" s="8">
        <v>3</v>
      </c>
      <c r="F29" s="8">
        <f t="shared" si="3"/>
        <v>57</v>
      </c>
      <c r="G29" s="8">
        <f t="shared" si="4"/>
        <v>60</v>
      </c>
      <c r="H29" s="57"/>
      <c r="I29" s="57" t="str">
        <f t="shared" si="5"/>
        <v>ZF315,57-60</v>
      </c>
      <c r="J29" s="8" t="s">
        <v>78</v>
      </c>
      <c r="K29" s="38"/>
    </row>
    <row r="30" spans="1:13">
      <c r="A30" s="37">
        <v>1202</v>
      </c>
      <c r="B30" s="9" t="s">
        <v>57</v>
      </c>
      <c r="C30" s="8">
        <v>42</v>
      </c>
      <c r="D30" s="8">
        <v>8</v>
      </c>
      <c r="E30" s="8">
        <v>5</v>
      </c>
      <c r="F30" s="8">
        <f t="shared" si="3"/>
        <v>61</v>
      </c>
      <c r="G30" s="8">
        <f t="shared" si="4"/>
        <v>68</v>
      </c>
      <c r="H30" s="57"/>
      <c r="I30" s="57" t="str">
        <f t="shared" si="5"/>
        <v>ZF315,61-68</v>
      </c>
      <c r="J30" s="8" t="s">
        <v>79</v>
      </c>
      <c r="K30" s="38"/>
    </row>
    <row r="31" spans="1:13">
      <c r="A31" s="37">
        <v>1202</v>
      </c>
      <c r="B31" s="9" t="s">
        <v>32</v>
      </c>
      <c r="C31" s="8">
        <v>41</v>
      </c>
      <c r="D31" s="8">
        <v>4</v>
      </c>
      <c r="E31" s="8">
        <v>4</v>
      </c>
      <c r="F31" s="8">
        <f t="shared" si="3"/>
        <v>69</v>
      </c>
      <c r="G31" s="8">
        <f t="shared" si="4"/>
        <v>72</v>
      </c>
      <c r="H31" s="57"/>
      <c r="I31" s="57" t="str">
        <f t="shared" si="5"/>
        <v>ZF315,69-72</v>
      </c>
      <c r="J31" s="8" t="s">
        <v>80</v>
      </c>
      <c r="K31" s="38"/>
      <c r="L31" s="54" t="s">
        <v>108</v>
      </c>
      <c r="M31">
        <f>COUNTIF(D18:D33,"=4")</f>
        <v>11</v>
      </c>
    </row>
    <row r="32" spans="1:13">
      <c r="A32" s="37">
        <v>1202</v>
      </c>
      <c r="B32" s="9" t="s">
        <v>58</v>
      </c>
      <c r="C32" s="8">
        <v>40</v>
      </c>
      <c r="D32" s="8">
        <v>4</v>
      </c>
      <c r="E32" s="8">
        <v>4</v>
      </c>
      <c r="F32" s="8">
        <f t="shared" si="3"/>
        <v>73</v>
      </c>
      <c r="G32" s="8">
        <f t="shared" si="4"/>
        <v>76</v>
      </c>
      <c r="H32" s="57"/>
      <c r="I32" s="57" t="str">
        <f t="shared" si="5"/>
        <v>ZF315,73-76</v>
      </c>
      <c r="J32" s="8" t="s">
        <v>81</v>
      </c>
      <c r="K32" s="38"/>
      <c r="L32" s="54" t="s">
        <v>107</v>
      </c>
      <c r="M32">
        <f>COUNTIF(D18:D33,"=8")</f>
        <v>5</v>
      </c>
    </row>
    <row r="33" spans="1:13" ht="15" thickBot="1">
      <c r="A33" s="39">
        <v>1202</v>
      </c>
      <c r="B33" s="40" t="s">
        <v>45</v>
      </c>
      <c r="C33" s="41">
        <v>39</v>
      </c>
      <c r="D33" s="41">
        <v>8</v>
      </c>
      <c r="E33" s="41">
        <v>6</v>
      </c>
      <c r="F33" s="41">
        <f t="shared" si="3"/>
        <v>77</v>
      </c>
      <c r="G33" s="41">
        <f t="shared" si="4"/>
        <v>84</v>
      </c>
      <c r="H33" s="58"/>
      <c r="I33" s="58" t="str">
        <f t="shared" si="5"/>
        <v>ZF315,77-84</v>
      </c>
      <c r="J33" s="41" t="s">
        <v>82</v>
      </c>
      <c r="K33" s="42" t="s">
        <v>59</v>
      </c>
      <c r="L33" s="54" t="s">
        <v>106</v>
      </c>
      <c r="M33">
        <f>SUM(E18:E33)</f>
        <v>62</v>
      </c>
    </row>
    <row r="34" spans="1:13">
      <c r="A34" s="23">
        <v>1113</v>
      </c>
      <c r="B34" s="24" t="s">
        <v>38</v>
      </c>
      <c r="C34" s="25">
        <v>36</v>
      </c>
      <c r="D34" s="25">
        <v>4</v>
      </c>
      <c r="E34" s="25">
        <v>4</v>
      </c>
      <c r="F34" s="25">
        <v>1</v>
      </c>
      <c r="G34" s="25">
        <f t="shared" si="4"/>
        <v>4</v>
      </c>
      <c r="H34" s="25"/>
      <c r="I34" s="25" t="str">
        <f>"ZF316,"&amp;F34&amp;"-"&amp;G34</f>
        <v>ZF316,1-4</v>
      </c>
      <c r="J34" s="25" t="s">
        <v>83</v>
      </c>
      <c r="K34" s="26"/>
    </row>
    <row r="35" spans="1:13">
      <c r="A35" s="27">
        <v>1113</v>
      </c>
      <c r="B35" s="11" t="s">
        <v>35</v>
      </c>
      <c r="C35" s="10">
        <v>35</v>
      </c>
      <c r="D35" s="10">
        <v>4</v>
      </c>
      <c r="E35" s="10">
        <v>2</v>
      </c>
      <c r="F35" s="10">
        <f t="shared" si="3"/>
        <v>5</v>
      </c>
      <c r="G35" s="10">
        <f t="shared" si="4"/>
        <v>8</v>
      </c>
      <c r="H35" s="10"/>
      <c r="I35" s="10" t="str">
        <f t="shared" ref="I35:I49" si="6">"ZF316,"&amp;F35&amp;"-"&amp;G35</f>
        <v>ZF316,5-8</v>
      </c>
      <c r="J35" s="10" t="s">
        <v>84</v>
      </c>
      <c r="K35" s="28"/>
    </row>
    <row r="36" spans="1:13">
      <c r="A36" s="27">
        <v>1113</v>
      </c>
      <c r="B36" s="11" t="s">
        <v>39</v>
      </c>
      <c r="C36" s="10">
        <v>34</v>
      </c>
      <c r="D36" s="10">
        <v>4</v>
      </c>
      <c r="E36" s="10">
        <v>2</v>
      </c>
      <c r="F36" s="10">
        <f t="shared" si="3"/>
        <v>9</v>
      </c>
      <c r="G36" s="10">
        <f t="shared" si="4"/>
        <v>12</v>
      </c>
      <c r="H36" s="10"/>
      <c r="I36" s="10" t="str">
        <f t="shared" si="6"/>
        <v>ZF316,9-12</v>
      </c>
      <c r="J36" s="10" t="s">
        <v>85</v>
      </c>
      <c r="K36" s="28"/>
    </row>
    <row r="37" spans="1:13">
      <c r="A37" s="27">
        <v>1113</v>
      </c>
      <c r="B37" s="11" t="s">
        <v>40</v>
      </c>
      <c r="C37" s="10">
        <v>33</v>
      </c>
      <c r="D37" s="10">
        <v>4</v>
      </c>
      <c r="E37" s="10">
        <v>1</v>
      </c>
      <c r="F37" s="10">
        <f t="shared" si="3"/>
        <v>13</v>
      </c>
      <c r="G37" s="10">
        <f t="shared" si="4"/>
        <v>16</v>
      </c>
      <c r="H37" s="10"/>
      <c r="I37" s="10" t="str">
        <f t="shared" si="6"/>
        <v>ZF316,13-16</v>
      </c>
      <c r="J37" s="10" t="s">
        <v>86</v>
      </c>
      <c r="K37" s="28"/>
    </row>
    <row r="38" spans="1:13">
      <c r="A38" s="27">
        <v>1113</v>
      </c>
      <c r="B38" s="11" t="s">
        <v>41</v>
      </c>
      <c r="C38" s="10">
        <v>32</v>
      </c>
      <c r="D38" s="10">
        <v>4</v>
      </c>
      <c r="E38" s="10">
        <v>3</v>
      </c>
      <c r="F38" s="10">
        <f t="shared" si="3"/>
        <v>17</v>
      </c>
      <c r="G38" s="10">
        <f t="shared" si="4"/>
        <v>20</v>
      </c>
      <c r="H38" s="10"/>
      <c r="I38" s="10" t="str">
        <f t="shared" si="6"/>
        <v>ZF316,17-20</v>
      </c>
      <c r="J38" s="10" t="s">
        <v>87</v>
      </c>
      <c r="K38" s="28">
        <v>31</v>
      </c>
    </row>
    <row r="39" spans="1:13">
      <c r="A39" s="27">
        <v>1097</v>
      </c>
      <c r="B39" s="11" t="s">
        <v>29</v>
      </c>
      <c r="C39" s="10">
        <v>30</v>
      </c>
      <c r="D39" s="10">
        <v>8</v>
      </c>
      <c r="E39" s="10">
        <v>5</v>
      </c>
      <c r="F39" s="10">
        <f t="shared" si="3"/>
        <v>21</v>
      </c>
      <c r="G39" s="10">
        <f t="shared" si="4"/>
        <v>28</v>
      </c>
      <c r="H39" s="10"/>
      <c r="I39" s="10" t="str">
        <f t="shared" si="6"/>
        <v>ZF316,21-28</v>
      </c>
      <c r="J39" s="10" t="s">
        <v>88</v>
      </c>
      <c r="K39" s="28"/>
    </row>
    <row r="40" spans="1:13">
      <c r="A40" s="27">
        <v>1097</v>
      </c>
      <c r="B40" s="11" t="s">
        <v>30</v>
      </c>
      <c r="C40" s="10">
        <v>29</v>
      </c>
      <c r="D40" s="10">
        <v>4</v>
      </c>
      <c r="E40" s="10">
        <v>4</v>
      </c>
      <c r="F40" s="10">
        <f t="shared" si="3"/>
        <v>29</v>
      </c>
      <c r="G40" s="10">
        <f t="shared" si="4"/>
        <v>32</v>
      </c>
      <c r="H40" s="10"/>
      <c r="I40" s="10" t="str">
        <f t="shared" si="6"/>
        <v>ZF316,29-32</v>
      </c>
      <c r="J40" s="10" t="s">
        <v>89</v>
      </c>
      <c r="K40" s="28"/>
    </row>
    <row r="41" spans="1:13">
      <c r="A41" s="27">
        <v>1097</v>
      </c>
      <c r="B41" s="11" t="s">
        <v>60</v>
      </c>
      <c r="C41" s="10">
        <v>28</v>
      </c>
      <c r="D41" s="10">
        <v>4</v>
      </c>
      <c r="E41" s="10">
        <v>4</v>
      </c>
      <c r="F41" s="10">
        <f t="shared" si="3"/>
        <v>33</v>
      </c>
      <c r="G41" s="10">
        <f t="shared" si="4"/>
        <v>36</v>
      </c>
      <c r="H41" s="10"/>
      <c r="I41" s="10" t="str">
        <f t="shared" si="6"/>
        <v>ZF316,33-36</v>
      </c>
      <c r="J41" s="10" t="s">
        <v>90</v>
      </c>
      <c r="K41" s="28"/>
    </row>
    <row r="42" spans="1:13">
      <c r="A42" s="27">
        <v>1097</v>
      </c>
      <c r="B42" s="11" t="s">
        <v>61</v>
      </c>
      <c r="C42" s="10">
        <v>27</v>
      </c>
      <c r="D42" s="10">
        <v>4</v>
      </c>
      <c r="E42" s="10">
        <v>2</v>
      </c>
      <c r="F42" s="10">
        <f t="shared" si="3"/>
        <v>37</v>
      </c>
      <c r="G42" s="10">
        <f t="shared" si="4"/>
        <v>40</v>
      </c>
      <c r="H42" s="10"/>
      <c r="I42" s="10" t="str">
        <f t="shared" si="6"/>
        <v>ZF316,37-40</v>
      </c>
      <c r="J42" s="10" t="s">
        <v>91</v>
      </c>
      <c r="K42" s="28"/>
    </row>
    <row r="43" spans="1:13">
      <c r="A43" s="27">
        <v>1097</v>
      </c>
      <c r="B43" s="11" t="s">
        <v>62</v>
      </c>
      <c r="C43" s="10">
        <v>26</v>
      </c>
      <c r="D43" s="10">
        <v>4</v>
      </c>
      <c r="E43" s="10">
        <v>1</v>
      </c>
      <c r="F43" s="10">
        <f t="shared" si="3"/>
        <v>41</v>
      </c>
      <c r="G43" s="10">
        <f t="shared" si="4"/>
        <v>44</v>
      </c>
      <c r="H43" s="10"/>
      <c r="I43" s="10" t="str">
        <f t="shared" si="6"/>
        <v>ZF316,41-44</v>
      </c>
      <c r="J43" s="10" t="s">
        <v>92</v>
      </c>
      <c r="K43" s="28"/>
    </row>
    <row r="44" spans="1:13">
      <c r="A44" s="27">
        <v>1097</v>
      </c>
      <c r="B44" s="11" t="s">
        <v>63</v>
      </c>
      <c r="C44" s="10">
        <v>25</v>
      </c>
      <c r="D44" s="10">
        <v>4</v>
      </c>
      <c r="E44" s="10">
        <v>2</v>
      </c>
      <c r="F44" s="10">
        <f t="shared" si="3"/>
        <v>45</v>
      </c>
      <c r="G44" s="10">
        <f t="shared" si="4"/>
        <v>48</v>
      </c>
      <c r="H44" s="10"/>
      <c r="I44" s="10" t="str">
        <f t="shared" si="6"/>
        <v>ZF316,45-48</v>
      </c>
      <c r="J44" s="10" t="s">
        <v>93</v>
      </c>
      <c r="K44" s="28"/>
    </row>
    <row r="45" spans="1:13">
      <c r="A45" s="27">
        <v>1096</v>
      </c>
      <c r="B45" s="11" t="s">
        <v>31</v>
      </c>
      <c r="C45" s="10">
        <v>24</v>
      </c>
      <c r="D45" s="10">
        <v>4</v>
      </c>
      <c r="E45" s="10">
        <v>3</v>
      </c>
      <c r="F45" s="10">
        <f t="shared" si="3"/>
        <v>49</v>
      </c>
      <c r="G45" s="10">
        <f t="shared" si="4"/>
        <v>52</v>
      </c>
      <c r="H45" s="10"/>
      <c r="I45" s="10" t="str">
        <f t="shared" si="6"/>
        <v>ZF316,49-52</v>
      </c>
      <c r="J45" s="10" t="s">
        <v>94</v>
      </c>
      <c r="K45" s="28"/>
    </row>
    <row r="46" spans="1:13">
      <c r="A46" s="27">
        <v>1096</v>
      </c>
      <c r="B46" s="11" t="s">
        <v>39</v>
      </c>
      <c r="C46" s="10">
        <v>23</v>
      </c>
      <c r="D46" s="10">
        <v>4</v>
      </c>
      <c r="E46" s="10">
        <v>3</v>
      </c>
      <c r="F46" s="10">
        <f t="shared" si="3"/>
        <v>53</v>
      </c>
      <c r="G46" s="10">
        <f t="shared" si="4"/>
        <v>56</v>
      </c>
      <c r="H46" s="10"/>
      <c r="I46" s="10" t="str">
        <f t="shared" si="6"/>
        <v>ZF316,53-56</v>
      </c>
      <c r="J46" s="10" t="s">
        <v>95</v>
      </c>
      <c r="K46" s="28"/>
    </row>
    <row r="47" spans="1:13">
      <c r="A47" s="27">
        <v>1096</v>
      </c>
      <c r="B47" s="11" t="s">
        <v>32</v>
      </c>
      <c r="C47" s="10">
        <v>22</v>
      </c>
      <c r="D47" s="10">
        <v>8</v>
      </c>
      <c r="E47" s="10">
        <v>7</v>
      </c>
      <c r="F47" s="10">
        <f t="shared" si="3"/>
        <v>57</v>
      </c>
      <c r="G47" s="10">
        <f t="shared" si="4"/>
        <v>64</v>
      </c>
      <c r="H47" s="10"/>
      <c r="I47" s="10" t="str">
        <f t="shared" si="6"/>
        <v>ZF316,57-64</v>
      </c>
      <c r="J47" s="10" t="s">
        <v>96</v>
      </c>
      <c r="K47" s="28"/>
      <c r="L47" s="54" t="s">
        <v>108</v>
      </c>
      <c r="M47">
        <f>COUNTIF(D34:D49,"=4")</f>
        <v>14</v>
      </c>
    </row>
    <row r="48" spans="1:13">
      <c r="A48" s="27">
        <v>1124</v>
      </c>
      <c r="B48" s="11" t="s">
        <v>31</v>
      </c>
      <c r="C48" s="10">
        <v>21</v>
      </c>
      <c r="D48" s="10">
        <v>4</v>
      </c>
      <c r="E48" s="10">
        <v>2</v>
      </c>
      <c r="F48" s="10">
        <f t="shared" si="3"/>
        <v>65</v>
      </c>
      <c r="G48" s="10">
        <f t="shared" si="4"/>
        <v>68</v>
      </c>
      <c r="H48" s="10"/>
      <c r="I48" s="10" t="str">
        <f t="shared" si="6"/>
        <v>ZF316,65-68</v>
      </c>
      <c r="J48" s="10" t="s">
        <v>97</v>
      </c>
      <c r="K48" s="28"/>
      <c r="L48" s="54" t="s">
        <v>107</v>
      </c>
      <c r="M48">
        <f>COUNTIF(D34:D49,"=8")</f>
        <v>2</v>
      </c>
    </row>
    <row r="49" spans="1:13" ht="15" thickBot="1">
      <c r="A49" s="29">
        <v>1124</v>
      </c>
      <c r="B49" s="30" t="s">
        <v>34</v>
      </c>
      <c r="C49" s="31">
        <v>20</v>
      </c>
      <c r="D49" s="31">
        <v>4</v>
      </c>
      <c r="E49" s="31">
        <v>3</v>
      </c>
      <c r="F49" s="31">
        <f t="shared" si="3"/>
        <v>69</v>
      </c>
      <c r="G49" s="31">
        <f t="shared" si="4"/>
        <v>72</v>
      </c>
      <c r="H49" s="31"/>
      <c r="I49" s="31" t="str">
        <f t="shared" si="6"/>
        <v>ZF316,69-72</v>
      </c>
      <c r="J49" s="31" t="s">
        <v>98</v>
      </c>
      <c r="K49" s="32"/>
      <c r="L49" s="54" t="s">
        <v>106</v>
      </c>
      <c r="M49">
        <f>SUM(E34:E49)</f>
        <v>48</v>
      </c>
    </row>
    <row r="50" spans="1:13">
      <c r="A50" s="14">
        <v>1096</v>
      </c>
      <c r="B50" s="15" t="s">
        <v>33</v>
      </c>
      <c r="C50" s="16">
        <v>19</v>
      </c>
      <c r="D50" s="16">
        <v>8</v>
      </c>
      <c r="E50" s="16">
        <v>6</v>
      </c>
      <c r="F50" s="16">
        <v>1</v>
      </c>
      <c r="G50" s="16">
        <f t="shared" si="4"/>
        <v>8</v>
      </c>
      <c r="H50" s="16"/>
      <c r="I50" s="16" t="str">
        <f>"ZF317,"&amp;F50&amp;"-"&amp;G50</f>
        <v>ZF317,1-8</v>
      </c>
      <c r="J50" s="16" t="s">
        <v>99</v>
      </c>
      <c r="K50" s="17" t="s">
        <v>64</v>
      </c>
    </row>
    <row r="51" spans="1:13">
      <c r="A51" s="18">
        <v>1477</v>
      </c>
      <c r="B51" s="13" t="s">
        <v>35</v>
      </c>
      <c r="C51" s="12">
        <v>12</v>
      </c>
      <c r="D51" s="12">
        <v>4</v>
      </c>
      <c r="E51" s="12">
        <v>2</v>
      </c>
      <c r="F51" s="12">
        <f t="shared" si="3"/>
        <v>9</v>
      </c>
      <c r="G51" s="12">
        <f t="shared" si="4"/>
        <v>12</v>
      </c>
      <c r="H51" s="12"/>
      <c r="I51" s="12" t="str">
        <f t="shared" ref="I51:I55" si="7">"ZF317,"&amp;F51&amp;"-"&amp;G51</f>
        <v>ZF317,9-12</v>
      </c>
      <c r="J51" s="12" t="s">
        <v>100</v>
      </c>
      <c r="K51" s="19"/>
    </row>
    <row r="52" spans="1:13">
      <c r="A52" s="18">
        <v>1097</v>
      </c>
      <c r="B52" s="13" t="s">
        <v>36</v>
      </c>
      <c r="C52" s="12">
        <v>11</v>
      </c>
      <c r="D52" s="12">
        <v>4</v>
      </c>
      <c r="E52" s="12">
        <v>3</v>
      </c>
      <c r="F52" s="12">
        <f t="shared" si="3"/>
        <v>13</v>
      </c>
      <c r="G52" s="12">
        <f t="shared" si="4"/>
        <v>16</v>
      </c>
      <c r="H52" s="12"/>
      <c r="I52" s="12" t="str">
        <f t="shared" si="7"/>
        <v>ZF317,13-16</v>
      </c>
      <c r="J52" s="12" t="s">
        <v>101</v>
      </c>
      <c r="K52" s="19"/>
    </row>
    <row r="53" spans="1:13">
      <c r="A53" s="18">
        <v>1097</v>
      </c>
      <c r="B53" s="13" t="s">
        <v>37</v>
      </c>
      <c r="C53" s="12">
        <v>10</v>
      </c>
      <c r="D53" s="12">
        <v>4</v>
      </c>
      <c r="E53" s="12">
        <v>3</v>
      </c>
      <c r="F53" s="12">
        <f t="shared" si="3"/>
        <v>17</v>
      </c>
      <c r="G53" s="12">
        <f t="shared" si="4"/>
        <v>20</v>
      </c>
      <c r="H53" s="12"/>
      <c r="I53" s="12" t="str">
        <f t="shared" si="7"/>
        <v>ZF317,17-20</v>
      </c>
      <c r="J53" s="12" t="s">
        <v>102</v>
      </c>
      <c r="K53" s="19"/>
      <c r="L53" s="54" t="s">
        <v>108</v>
      </c>
      <c r="M53">
        <f>COUNTIF(D50:D55,"=4")</f>
        <v>5</v>
      </c>
    </row>
    <row r="54" spans="1:13">
      <c r="A54" s="18">
        <v>1097</v>
      </c>
      <c r="B54" s="13" t="s">
        <v>65</v>
      </c>
      <c r="C54" s="12">
        <v>9</v>
      </c>
      <c r="D54" s="12">
        <v>4</v>
      </c>
      <c r="E54" s="12">
        <v>3</v>
      </c>
      <c r="F54" s="12">
        <f t="shared" si="3"/>
        <v>21</v>
      </c>
      <c r="G54" s="12">
        <f t="shared" si="4"/>
        <v>24</v>
      </c>
      <c r="H54" s="12"/>
      <c r="I54" s="12" t="str">
        <f t="shared" si="7"/>
        <v>ZF317,21-24</v>
      </c>
      <c r="J54" s="12" t="s">
        <v>103</v>
      </c>
      <c r="K54" s="19"/>
      <c r="L54" s="54" t="s">
        <v>107</v>
      </c>
      <c r="M54">
        <f>COUNTIF(D50:D55,"=8")</f>
        <v>1</v>
      </c>
    </row>
    <row r="55" spans="1:13" ht="15" thickBot="1">
      <c r="A55" s="20">
        <v>1097</v>
      </c>
      <c r="B55" s="53" t="s">
        <v>105</v>
      </c>
      <c r="C55" s="21">
        <v>8</v>
      </c>
      <c r="D55" s="21">
        <v>4</v>
      </c>
      <c r="E55" s="21">
        <v>3</v>
      </c>
      <c r="F55" s="21">
        <f t="shared" si="3"/>
        <v>25</v>
      </c>
      <c r="G55" s="21">
        <f t="shared" si="4"/>
        <v>28</v>
      </c>
      <c r="H55" s="21"/>
      <c r="I55" s="21" t="str">
        <f t="shared" si="7"/>
        <v>ZF317,25-28</v>
      </c>
      <c r="J55" s="21" t="s">
        <v>104</v>
      </c>
      <c r="K55" s="22" t="s">
        <v>66</v>
      </c>
      <c r="L55" s="54" t="s">
        <v>106</v>
      </c>
      <c r="M55">
        <f>SUM(E50:E55)</f>
        <v>20</v>
      </c>
    </row>
    <row r="56" spans="1:13">
      <c r="A56" s="5"/>
      <c r="B56" s="4"/>
      <c r="K56"/>
    </row>
    <row r="57" spans="1:13">
      <c r="A57" s="5"/>
      <c r="B57" s="4"/>
      <c r="K57"/>
    </row>
    <row r="58" spans="1:13">
      <c r="A58" s="5"/>
      <c r="B58" s="4"/>
      <c r="K58"/>
    </row>
    <row r="59" spans="1:13">
      <c r="A59" s="5"/>
      <c r="B59" s="4"/>
      <c r="K59"/>
    </row>
    <row r="60" spans="1:13">
      <c r="A60" s="5"/>
      <c r="K60"/>
    </row>
    <row r="61" spans="1:13">
      <c r="A61" s="5"/>
      <c r="K61"/>
    </row>
    <row r="62" spans="1:13">
      <c r="A62" s="5"/>
      <c r="K62"/>
    </row>
    <row r="63" spans="1:13">
      <c r="A63" s="5"/>
      <c r="K63"/>
    </row>
    <row r="64" spans="1:13">
      <c r="K64"/>
    </row>
    <row r="65" spans="11:11">
      <c r="K65"/>
    </row>
    <row r="66" spans="11:11">
      <c r="K66"/>
    </row>
    <row r="67" spans="11:11">
      <c r="K67"/>
    </row>
    <row r="68" spans="11:11">
      <c r="K68"/>
    </row>
    <row r="69" spans="11:11">
      <c r="K69"/>
    </row>
    <row r="70" spans="11:11">
      <c r="K70"/>
    </row>
    <row r="71" spans="11:11">
      <c r="K71"/>
    </row>
    <row r="72" spans="11:11">
      <c r="K72"/>
    </row>
    <row r="73" spans="11:11">
      <c r="K73"/>
    </row>
    <row r="74" spans="11:11">
      <c r="K74"/>
    </row>
    <row r="75" spans="11:11">
      <c r="K75"/>
    </row>
    <row r="76" spans="11:11">
      <c r="K76"/>
    </row>
    <row r="77" spans="11:11">
      <c r="K77"/>
    </row>
    <row r="78" spans="11:11">
      <c r="K78"/>
    </row>
    <row r="79" spans="11:11">
      <c r="K79"/>
    </row>
    <row r="80" spans="11:11">
      <c r="K80"/>
    </row>
    <row r="81" spans="11:11">
      <c r="K81"/>
    </row>
    <row r="82" spans="11:11">
      <c r="K82"/>
    </row>
    <row r="83" spans="11:11">
      <c r="K83"/>
    </row>
    <row r="84" spans="11:11">
      <c r="K84"/>
    </row>
    <row r="85" spans="11:11">
      <c r="K85"/>
    </row>
    <row r="86" spans="11:11">
      <c r="K86"/>
    </row>
    <row r="87" spans="11:11">
      <c r="K87"/>
    </row>
    <row r="88" spans="11:11">
      <c r="K88"/>
    </row>
    <row r="89" spans="11:11">
      <c r="K89"/>
    </row>
    <row r="90" spans="11:11">
      <c r="K90"/>
    </row>
    <row r="91" spans="11:11">
      <c r="K91"/>
    </row>
    <row r="92" spans="11:11">
      <c r="K92"/>
    </row>
    <row r="93" spans="11:11">
      <c r="K93"/>
    </row>
    <row r="94" spans="11:11">
      <c r="K94"/>
    </row>
    <row r="95" spans="11:11">
      <c r="K95"/>
    </row>
    <row r="96" spans="11:11">
      <c r="K96"/>
    </row>
    <row r="97" spans="11:11">
      <c r="K97"/>
    </row>
    <row r="98" spans="11:11">
      <c r="K98"/>
    </row>
    <row r="99" spans="11:11">
      <c r="K99"/>
    </row>
    <row r="100" spans="11:11">
      <c r="K100"/>
    </row>
    <row r="101" spans="11:11">
      <c r="K101"/>
    </row>
    <row r="102" spans="11:11">
      <c r="K102"/>
    </row>
    <row r="103" spans="11:11">
      <c r="K103"/>
    </row>
    <row r="104" spans="11:11">
      <c r="K104"/>
    </row>
    <row r="105" spans="11:11">
      <c r="K105"/>
    </row>
    <row r="106" spans="11:11">
      <c r="K106"/>
    </row>
    <row r="107" spans="11:11">
      <c r="K107"/>
    </row>
    <row r="108" spans="11:11">
      <c r="K108"/>
    </row>
    <row r="109" spans="11:11">
      <c r="K109"/>
    </row>
    <row r="110" spans="11:11">
      <c r="K110"/>
    </row>
    <row r="111" spans="11:11">
      <c r="K111"/>
    </row>
    <row r="112" spans="11:11">
      <c r="K112"/>
    </row>
    <row r="113" spans="11:11">
      <c r="K113"/>
    </row>
    <row r="114" spans="11:11">
      <c r="K114"/>
    </row>
    <row r="115" spans="11:11">
      <c r="K115"/>
    </row>
    <row r="116" spans="11:11">
      <c r="K116"/>
    </row>
    <row r="117" spans="11:11">
      <c r="K117"/>
    </row>
    <row r="118" spans="11:11">
      <c r="K118"/>
    </row>
    <row r="119" spans="11:11">
      <c r="K119"/>
    </row>
    <row r="120" spans="11:11">
      <c r="K120"/>
    </row>
    <row r="121" spans="11:11">
      <c r="K121"/>
    </row>
    <row r="122" spans="11:11">
      <c r="K122"/>
    </row>
    <row r="123" spans="11:11">
      <c r="K123"/>
    </row>
    <row r="124" spans="11:11">
      <c r="K124"/>
    </row>
    <row r="125" spans="11:11">
      <c r="K125"/>
    </row>
    <row r="126" spans="11:11">
      <c r="K126"/>
    </row>
    <row r="127" spans="11:11">
      <c r="K127"/>
    </row>
    <row r="128" spans="11:11">
      <c r="K128"/>
    </row>
    <row r="129" spans="11:11">
      <c r="K129"/>
    </row>
    <row r="130" spans="11:11">
      <c r="K130"/>
    </row>
    <row r="131" spans="11:11">
      <c r="K131"/>
    </row>
    <row r="132" spans="11:11">
      <c r="K132"/>
    </row>
    <row r="133" spans="11:11">
      <c r="K133"/>
    </row>
    <row r="134" spans="11:11">
      <c r="K134"/>
    </row>
    <row r="135" spans="11:11">
      <c r="K135"/>
    </row>
    <row r="136" spans="11:11">
      <c r="K136"/>
    </row>
    <row r="137" spans="11:11">
      <c r="K137"/>
    </row>
    <row r="138" spans="11:11">
      <c r="K138"/>
    </row>
    <row r="139" spans="11:11">
      <c r="K139"/>
    </row>
    <row r="140" spans="11:11">
      <c r="K140"/>
    </row>
    <row r="141" spans="11:11">
      <c r="K141"/>
    </row>
    <row r="142" spans="11:11">
      <c r="K142"/>
    </row>
    <row r="143" spans="11:11">
      <c r="K143"/>
    </row>
    <row r="144" spans="11:11">
      <c r="K144"/>
    </row>
    <row r="145" spans="11:11">
      <c r="K145"/>
    </row>
    <row r="146" spans="11:11">
      <c r="K146"/>
    </row>
    <row r="147" spans="11:11">
      <c r="K147"/>
    </row>
    <row r="148" spans="11:11">
      <c r="K148"/>
    </row>
    <row r="149" spans="11:11">
      <c r="K149"/>
    </row>
    <row r="150" spans="11:11">
      <c r="K150"/>
    </row>
    <row r="151" spans="11:11">
      <c r="K151"/>
    </row>
    <row r="152" spans="11:11">
      <c r="K152"/>
    </row>
    <row r="153" spans="11:11">
      <c r="K153"/>
    </row>
    <row r="154" spans="11:11">
      <c r="K154"/>
    </row>
    <row r="155" spans="11:11">
      <c r="K155"/>
    </row>
    <row r="156" spans="11:11">
      <c r="K156"/>
    </row>
    <row r="157" spans="11:11">
      <c r="K157"/>
    </row>
    <row r="158" spans="11:11">
      <c r="K158"/>
    </row>
    <row r="159" spans="11:11">
      <c r="K159"/>
    </row>
    <row r="160" spans="11:11">
      <c r="K160"/>
    </row>
    <row r="161" spans="11:11">
      <c r="K161"/>
    </row>
    <row r="162" spans="11:11">
      <c r="K162"/>
    </row>
    <row r="163" spans="11:11">
      <c r="K163"/>
    </row>
  </sheetData>
  <phoneticPr fontId="6" type="noConversion"/>
  <conditionalFormatting sqref="D1:D1048576">
    <cfRule type="cellIs" dxfId="0" priority="1" operator="equal">
      <formula>8</formula>
    </cfRule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Fawzy</cp:lastModifiedBy>
  <dcterms:created xsi:type="dcterms:W3CDTF">2016-12-02T03:33:00Z</dcterms:created>
  <dcterms:modified xsi:type="dcterms:W3CDTF">2025-10-11T13:56:18Z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5002B642EB514710AD5CFD45018FAB19_12</vt:lpwstr>
  </property>
  <property fmtid="{D5CDD505-2E9C-101B-9397-08002B2CF9AE}" pid="3" name="KSOProductBuildVer">
    <vt:lpwstr>1033-12.2.0.18607</vt:lpwstr>
  </property>
</Properties>
</file>